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Review Paper\1st Review\3rd Correction\Evidence dataset\"/>
    </mc:Choice>
  </mc:AlternateContent>
  <xr:revisionPtr revIDLastSave="0" documentId="13_ncr:1_{DDD9E9A6-53B3-4F45-93B6-C95A4B411E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ing Table S1" sheetId="1" r:id="rId1"/>
    <sheet name="Excluded References" sheetId="2" r:id="rId2"/>
    <sheet name="Coding Criter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B17" i="3"/>
  <c r="B16" i="3"/>
  <c r="B15" i="3"/>
  <c r="B9" i="3"/>
  <c r="B8" i="3"/>
  <c r="B7" i="3"/>
  <c r="B6" i="3"/>
</calcChain>
</file>

<file path=xl/sharedStrings.xml><?xml version="1.0" encoding="utf-8"?>
<sst xmlns="http://schemas.openxmlformats.org/spreadsheetml/2006/main" count="1908" uniqueCount="930">
  <si>
    <t>Reference</t>
  </si>
  <si>
    <t>Year</t>
  </si>
  <si>
    <t>Type</t>
  </si>
  <si>
    <t>Reason / note</t>
  </si>
  <si>
    <t>Berangi et al. 2025</t>
  </si>
  <si>
    <t>Review</t>
  </si>
  <si>
    <t>Review of AI-based KPIs for concrete-bridge condition monitoring</t>
  </si>
  <si>
    <t>Cusson et al. 2021</t>
  </si>
  <si>
    <t>Background</t>
  </si>
  <si>
    <t>Satellite radar early-warning for bridge displacement</t>
  </si>
  <si>
    <t>Dayan et al. 2022</t>
  </si>
  <si>
    <t>Scoping review of information-modeling in bridge management</t>
  </si>
  <si>
    <t>Dong &amp; Moshood 2026</t>
  </si>
  <si>
    <t>Review/Background</t>
  </si>
  <si>
    <t>DT across the asset lifecycle: technical/organisational challenges</t>
  </si>
  <si>
    <t>Dulin et al. 2025</t>
  </si>
  <si>
    <t>Infrastructure resilience / systemic design</t>
  </si>
  <si>
    <t>Gusenbauer 2022</t>
  </si>
  <si>
    <t>Methodology</t>
  </si>
  <si>
    <t>Bibliographic-database coverage comparison</t>
  </si>
  <si>
    <t>Hoskere et al. 2025</t>
  </si>
  <si>
    <t>State-of-the-art REVIEW + unified framework for bridge DTs</t>
  </si>
  <si>
    <t>Liu et al. 2025</t>
  </si>
  <si>
    <t>BIM + Big Data in building management: thematic-trends review</t>
  </si>
  <si>
    <t>Long et al. 2026</t>
  </si>
  <si>
    <t>Physics-data dual-driven SHM: systematic review</t>
  </si>
  <si>
    <t>McKenna et al. 2021</t>
  </si>
  <si>
    <t>Remote infrasound infrastructure monitoring</t>
  </si>
  <si>
    <t>Noroozinejad Farsangi et al. 2024</t>
  </si>
  <si>
    <t>Review/Perspective</t>
  </si>
  <si>
    <t>Transitioning BIM to digital twin to metaverse</t>
  </si>
  <si>
    <t>Page et al. 2021</t>
  </si>
  <si>
    <t>PRISMA 2020 reporting guideline</t>
  </si>
  <si>
    <t>Panah &amp; Kioumarsi 2021</t>
  </si>
  <si>
    <t>BIM in health monitoring &amp; maintenance: systematic review</t>
  </si>
  <si>
    <t>Schmidt et al. 2020</t>
  </si>
  <si>
    <t>Data-extraction methods for systematic-review automation</t>
  </si>
  <si>
    <t>Tricco et al. 2018</t>
  </si>
  <si>
    <t>PRISMA-ScR</t>
  </si>
  <si>
    <t>Wang Q. et al. 2025</t>
  </si>
  <si>
    <t>Current status and prospects of DT approaches in SHM</t>
  </si>
  <si>
    <t>Yano et al. 2023</t>
  </si>
  <si>
    <t>Review/Foundations</t>
  </si>
  <si>
    <t>Foundations and applicability of TL for SHM of bridges</t>
  </si>
  <si>
    <t>Zhang B. et al. 2025</t>
  </si>
  <si>
    <t>Review of methods and applications in SHM for bridges</t>
  </si>
  <si>
    <t>Zhang Y. et al. 2025</t>
  </si>
  <si>
    <t>SHM based on 3D point-cloud technology: systematic review</t>
  </si>
  <si>
    <t>Huang et al. 2023</t>
  </si>
  <si>
    <t>Manufacturing-process Digital Twin study; excluded from the primary bridge/civil-structure SHM evidence synthesis.</t>
  </si>
  <si>
    <t>Coding field</t>
  </si>
  <si>
    <t>Criterion used in Supplementary Table S1</t>
  </si>
  <si>
    <t>Domain-shift-related issue discussed?</t>
  </si>
  <si>
    <t>Yes = the study discusses domain-shift-related issues, source-target mismatch, transferability restrictions, uncertainty, adaptive-model validity, or related validity concerns under changing data/structural conditions.</t>
  </si>
  <si>
    <t>Post-modification / retrofit / structural-state transfer considered?</t>
  </si>
  <si>
    <t>Yes = the study explicitly documents a post-modification or post-retrofit condition, a before/after repair or retrofit comparison, re-baselining/recalibration following a structural change, or explicit structural-state/condition transfer. General discussion of evolving conditions, model updating, damage, uncertainty, or domain shift without a defined structural modification/state-transfer scenario is coded No.</t>
  </si>
  <si>
    <t>Real operational bridge data used?</t>
  </si>
  <si>
    <t>Yes = the study uses monitoring data, inspection data, sensor data, field measurements, benchmark records, or case-study evidence from a real bridge or operational bridge/infrastructure setting.</t>
  </si>
  <si>
    <t>Complete DT–TL–BIM integration implemented?</t>
  </si>
  <si>
    <t>Yes = the study explicitly implements Digital Twin, Transfer Learning/domain adaptation, and BIM together within the same bridge SHM workflow. Partial combinations such as DT–ML, DT–TL, DT–BIM, or BIM–ML are coded as No.</t>
  </si>
  <si>
    <t>Domain-shift-related count</t>
  </si>
  <si>
    <t>Post-modification / retrofit / structural-state transfer count</t>
  </si>
  <si>
    <t>Real operational bridge data count</t>
  </si>
  <si>
    <t>Complete DT–TL–BIM integration count</t>
  </si>
  <si>
    <t>Post-modification evidence traceability</t>
  </si>
  <si>
    <t>No.</t>
  </si>
  <si>
    <t>Study (Author, Year)</t>
  </si>
  <si>
    <t>Full study title</t>
  </si>
  <si>
    <t>DOI / stable publication identifier</t>
  </si>
  <si>
    <t>Discovery / bibliographic source</t>
  </si>
  <si>
    <t>Primary category</t>
  </si>
  <si>
    <t>Bridge type</t>
  </si>
  <si>
    <t>Sensing modality</t>
  </si>
  <si>
    <t>DT role</t>
  </si>
  <si>
    <t>TL / domain-adaptation strategy</t>
  </si>
  <si>
    <t>BIM integration level</t>
  </si>
  <si>
    <t>Validation type</t>
  </si>
  <si>
    <t>Lifecycle phase</t>
  </si>
  <si>
    <t>Main limitation</t>
  </si>
  <si>
    <t>Evidence basis / inclusion basis</t>
  </si>
  <si>
    <t>Applicability rationale</t>
  </si>
  <si>
    <t>Domain-shift evidence / rationale</t>
  </si>
  <si>
    <t>Post-modification / retrofit / state-transfer evidence/rationale</t>
  </si>
  <si>
    <t>Operational bridge-data evidence / rationale</t>
  </si>
  <si>
    <t>DT–TL–BIM integration evidence / rationale</t>
  </si>
  <si>
    <t>Adib et al. 2023</t>
  </si>
  <si>
    <t>Development of digital twin concept for real-time detection of abnormal changes in structural behavior.</t>
  </si>
  <si>
    <t>https://doi.org/10.11159/iccste23.206</t>
  </si>
  <si>
    <t>Scopus</t>
  </si>
  <si>
    <t>DT</t>
  </si>
  <si>
    <t>Generic civil structure</t>
  </si>
  <si>
    <t>Structural response / sensor data</t>
  </si>
  <si>
    <t>DT for real-time abnormal-change detection</t>
  </si>
  <si>
    <t>None</t>
  </si>
  <si>
    <t>Conceptual / prototype demonstration</t>
  </si>
  <si>
    <t>Operation</t>
  </si>
  <si>
    <t>Assumes quasi-stationary behaviour</t>
  </si>
  <si>
    <t>Transferable non-bridge evidence</t>
  </si>
  <si>
    <t>Transferable structural/infrastructure methodological evidence. The DT for real-time abnormal-change detection addresses a core SHM function (model updating, domain adaptation, damage diagnosis, uncertainty, or information integration) applicable to bridges; it is excluded from bridge-specific sensitivity counts unless a bridge application is explicit.</t>
  </si>
  <si>
    <t>Yes</t>
  </si>
  <si>
    <t>Explicit domain-validity, uncertainty, evolving-condition or source–target consistency issue is discussed; charted limitation: Assumes quasi-stationary behaviour.</t>
  </si>
  <si>
    <t>No</t>
  </si>
  <si>
    <t>No explicit post-modification, retrofit, re-baselining, or structural-state-transfer scenario was identified in the charted study description; discussion of evolving or quasi-stationary behaviour alone was not treated as post-modification evidence.</t>
  </si>
  <si>
    <t>No real operational bridge data coded; validation/application context: Conceptual / prototype demonstration (Generic civil structure).</t>
  </si>
  <si>
    <t>Implemented technology components: DT. Missing for complete DT–TL–BIM integration: TL/domain adaptation, BIM.</t>
  </si>
  <si>
    <t>Armijo &amp; Zamora-Sanchez 2024</t>
  </si>
  <si>
    <t>Integration of railway bridge structural health monitoring into the internet of things with a digital twin: a case study.</t>
  </si>
  <si>
    <t>https://doi.org/10.3390/s24072115</t>
  </si>
  <si>
    <t>Scopus; Web of Science</t>
  </si>
  <si>
    <t>Railway bridge</t>
  </si>
  <si>
    <t>IoT sensors</t>
  </si>
  <si>
    <t>IoT-integrated DT (case study)</t>
  </si>
  <si>
    <t>Data-management</t>
  </si>
  <si>
    <t>Field (case study)</t>
  </si>
  <si>
    <t>Case-specific; single application</t>
  </si>
  <si>
    <t>Bridge-specific evidence</t>
  </si>
  <si>
    <t>Direct bridge-specific evidence; the study explicitly uses a bridge, bridge model, bridge population, bridge monitoring dataset, or bridge inspection application.</t>
  </si>
  <si>
    <t>No explicit domain-shift, source–target mismatch, transferability restriction or adaptive-validity assessment was coded from the study.</t>
  </si>
  <si>
    <t>No explicit post-modification, retrofit, re-baselining, or structural-state-transfer scenario coded.</t>
  </si>
  <si>
    <t>Real bridge/operational evidence coded from the Railway bridge application using IoT sensors; validation context: Field (case study).</t>
  </si>
  <si>
    <t>Implemented technology components: DT, BIM. Missing for complete DT–TL–BIM integration: TL/domain adaptation.</t>
  </si>
  <si>
    <t>Asutkar &amp; Tallur 2023</t>
  </si>
  <si>
    <t>Deep transfer learning strategy for efficient domain generalisation in machine fault diagnosis.</t>
  </si>
  <si>
    <t>https://doi.org/10.1038/s41598-023-33887-5</t>
  </si>
  <si>
    <t>TL</t>
  </si>
  <si>
    <t>Non-bridge (machine, transferable)</t>
  </si>
  <si>
    <t>Vibration</t>
  </si>
  <si>
    <t>Deep TL / domain generalisation (feature-based)</t>
  </si>
  <si>
    <t>Laboratory/benchmark</t>
  </si>
  <si>
    <t>Weak physical interpretability</t>
  </si>
  <si>
    <t>Transferable methodological evidence only. The study is outside civil infrastructure, but its Deep TL / domain generalisation (feature-based) provides a domain-transfer/feature-learning mechanism relevant to vibration-based SHM; it is excluded from bridge-specific sensitivity counts.</t>
  </si>
  <si>
    <t>Explicit transferability/domain-validity relevance is charted through the study's Deep TL / domain generalisation (feature-based) approach; the charted limitation is: Weak physical interpretability.</t>
  </si>
  <si>
    <t>No real operational bridge data coded; validation/application context: Laboratory/benchmark (Non-bridge (machine, transferable)).</t>
  </si>
  <si>
    <t>Implemented technology components: TL/domain adaptation. Missing for complete DT–TL–BIM integration: DT, BIM.</t>
  </si>
  <si>
    <t>Bao et al. 2023</t>
  </si>
  <si>
    <t>A Deep Transfer Learning Network for Structural Condition Identification with Limited Real‐World Training Data.</t>
  </si>
  <si>
    <t>https://doi.org/10.1155/2023/8899806</t>
  </si>
  <si>
    <t>Steel frame structure</t>
  </si>
  <si>
    <t>Vibration response</t>
  </si>
  <si>
    <t>Deep TL network, limited real-world data</t>
  </si>
  <si>
    <t>Numerical + experimental</t>
  </si>
  <si>
    <t>Domain validity under evolving conditions unclear</t>
  </si>
  <si>
    <t>Transferable non-bridge structural evidence. The Deep TL network, limited real-world data evaluates structural monitoring/model adaptation on another civil or structural system and is used only for methodological transferability, not as a bridge application.</t>
  </si>
  <si>
    <t>Explicit transferability/domain-validity relevance is charted through the study's Deep TL network, limited real-world data approach; the charted limitation is: Domain validity under evolving conditions unclear.</t>
  </si>
  <si>
    <t>No real operational bridge data coded; validation/application context: Numerical + experimental (Steel frame structure).</t>
  </si>
  <si>
    <t>Deng et al. 2022</t>
  </si>
  <si>
    <t>Visualization and monitoring information management of bridge structure health and safety early warning based on BIM.</t>
  </si>
  <si>
    <t>https://doi.org/10.1080/13467581.2020.1869013</t>
  </si>
  <si>
    <t>BIM</t>
  </si>
  <si>
    <t>Bridge</t>
  </si>
  <si>
    <t>Sensor data</t>
  </si>
  <si>
    <t>Visualization + early-warning</t>
  </si>
  <si>
    <t>No adaptive model updating / decision-making</t>
  </si>
  <si>
    <t>Real bridge/operational evidence coded from the Bridge application using Sensor data; validation context: Field (case study).</t>
  </si>
  <si>
    <t>Implemented technology components: BIM. Missing for complete DT–TL–BIM integration: DT, TL/domain adaptation.</t>
  </si>
  <si>
    <t>Fawad et al. 2023</t>
  </si>
  <si>
    <t>Automation of structural health monitoring (SHM) system of a bridge using BIMification approach and BIM-based finite element model development.</t>
  </si>
  <si>
    <t>https://doi.org/10.1038/s41598-023-40355-7</t>
  </si>
  <si>
    <t>Hybrid (BIM+DT)</t>
  </si>
  <si>
    <t>Sensor + FE/modal</t>
  </si>
  <si>
    <t>BIM-based FE model (BIMification)</t>
  </si>
  <si>
    <t>Data-management + FE coupling</t>
  </si>
  <si>
    <t>Case study</t>
  </si>
  <si>
    <t>Early-stage; limited validation</t>
  </si>
  <si>
    <t>Real bridge/operational evidence coded from the Bridge application using Sensor + FE/modal; validation context: Case study.</t>
  </si>
  <si>
    <t>Febrianto et al. 2022</t>
  </si>
  <si>
    <t>Digital twinning of self-sensing structures using the statistical finite element method.</t>
  </si>
  <si>
    <t>https://doi.org/10.1017/dce.2022.28</t>
  </si>
  <si>
    <t>Scopus / Web of Science search corpus</t>
  </si>
  <si>
    <t>Steel railway bridge</t>
  </si>
  <si>
    <t>Strain (FBG)</t>
  </si>
  <si>
    <t>Statistical FEM digital twinning</t>
  </si>
  <si>
    <t>Field (instrumented railway bridge)</t>
  </si>
  <si>
    <t>Accuracy under evolving conditions</t>
  </si>
  <si>
    <t>Explicit domain-validity, uncertainty, evolving-condition or source–target consistency issue is discussed; charted limitation: Accuracy under evolving conditions.</t>
  </si>
  <si>
    <t>Instrumented railway-bridge digital twinning under operational loading and uncertainty; no explicit before/after modification, retrofit, or structural-state-transfer scenario was evaluated.</t>
  </si>
  <si>
    <t>Real bridge/operational evidence coded from the Steel railway bridge application using Strain (FBG); validation context: Field (instrumented railway bridge).</t>
  </si>
  <si>
    <t>Gao X. et al. 2025</t>
  </si>
  <si>
    <t>A lightweight data management and visualization platform for structural health monitoring based on BIM and augmented reality.</t>
  </si>
  <si>
    <t>https://doi.org/10.1177/14759217251326036</t>
  </si>
  <si>
    <t>Civil infrastructure / SHM platform</t>
  </si>
  <si>
    <t>Sensor mapping</t>
  </si>
  <si>
    <t>Active visualization (BIM+AR)</t>
  </si>
  <si>
    <t>Passive role; limited analytics</t>
  </si>
  <si>
    <t>Transferable structural/infrastructure methodological evidence. The Active visualization (BIM+AR) addresses a core SHM function (model updating, domain adaptation, damage diagnosis, uncertainty, or information integration) applicable to bridges; it is excluded from bridge-specific sensitivity counts unless a bridge application is explicit.</t>
  </si>
  <si>
    <t>No real operational bridge data coded; validation/application context: Case study (Civil infrastructure / SHM platform).</t>
  </si>
  <si>
    <t>Gao Y. et al. 2024</t>
  </si>
  <si>
    <t>Bridge digital twin for practical bridge operation and maintenance by integrating GIS and BIM.</t>
  </si>
  <si>
    <t>https://doi.org/10.3390/buildings14123731</t>
  </si>
  <si>
    <t>DT (+BIM)</t>
  </si>
  <si>
    <t>Road bridge</t>
  </si>
  <si>
    <t>Operation, inspection and monitoring data</t>
  </si>
  <si>
    <t>FEM-based GIS+BIM DT for O&amp;M</t>
  </si>
  <si>
    <t>Operation &amp; maintenance</t>
  </si>
  <si>
    <t>Assumes stationary structure; limited adaptability</t>
  </si>
  <si>
    <t>Explicit domain-validity, uncertainty, evolving-condition or source–target consistency issue is discussed; charted limitation: Assumes stationary structure; limited adaptability.</t>
  </si>
  <si>
    <t>Real bridge/operational evidence coded from the Road bridge application using Operation, inspection and monitoring data; validation context: Field (case study).</t>
  </si>
  <si>
    <t>Ghahari et al. 2022</t>
  </si>
  <si>
    <t>Bridge digital twinning using an output-only Bayesian model updating method and recorded seismic measurements.</t>
  </si>
  <si>
    <t>https://doi.org/10.3390/s22031278</t>
  </si>
  <si>
    <t>Highway bridge</t>
  </si>
  <si>
    <t>Acceleration (seismic)</t>
  </si>
  <si>
    <t>FEM DT, output-only Bayesian updating</t>
  </si>
  <si>
    <t>Field (recorded seismic)</t>
  </si>
  <si>
    <t>Assumes stable configuration</t>
  </si>
  <si>
    <t>Explicit domain-validity, uncertainty, evolving-condition or source–target consistency issue is discussed; charted limitation: Assumes stable configuration.</t>
  </si>
  <si>
    <t>Real bridge/operational evidence coded from the Highway bridge application using Acceleration (seismic); validation context: Field (recorded seismic).</t>
  </si>
  <si>
    <t>Giglioni et al. 2025</t>
  </si>
  <si>
    <t>Transfer learning in bridge monitoring: Laboratory study on domain adaptation for population-based SHM of multispan continuous girder bridges.</t>
  </si>
  <si>
    <t>https://doi.org/10.1016/j.ymssp.2024.112151</t>
  </si>
  <si>
    <t>Multispan continuous girder bridge</t>
  </si>
  <si>
    <t>Domain adaptation, population-based (feature/parameter)</t>
  </si>
  <si>
    <t>Laboratory</t>
  </si>
  <si>
    <t>Lab-scale; similar-structure transfer</t>
  </si>
  <si>
    <t>Explicit transferability/domain-validity relevance is charted through the study's Domain adaptation, population-based (feature/parameter) approach; the charted limitation is: Lab-scale; similar-structure transfer.</t>
  </si>
  <si>
    <t>No real operational bridge data coded; validation/application context: Laboratory (Multispan continuous girder bridge).</t>
  </si>
  <si>
    <t>Gragnaniello et al. 2024</t>
  </si>
  <si>
    <t>BIM-based design and setup of structural health monitoring systems.</t>
  </si>
  <si>
    <t>https://doi.org/10.1016/j.autcon.2023.105245</t>
  </si>
  <si>
    <t>Highway viaduct (Naples–Salerno)</t>
  </si>
  <si>
    <t>BIM-based SHM design/setup</t>
  </si>
  <si>
    <t>Framework / setup case demonstration</t>
  </si>
  <si>
    <t>Design / operation</t>
  </si>
  <si>
    <t>BIM mainly for setup/data layer</t>
  </si>
  <si>
    <t>Direct bridge-specific evidence; the BIM-based SHM design and setup methodology was applied to a viaduct on the Naples–Salerno highway.</t>
  </si>
  <si>
    <t>No real operational bridge data coded; validation/application context: Framework / setup case demonstration (Highway viaduct (Naples–Salerno)).</t>
  </si>
  <si>
    <t>Herath et al. 2024</t>
  </si>
  <si>
    <t>Smart city digital twins: A modular and adaptive architecture for real-time data-driven urban management.</t>
  </si>
  <si>
    <t>https://doi.org/10.23919/CNSM62983.2024.10814627</t>
  </si>
  <si>
    <t>IEEE Xplore</t>
  </si>
  <si>
    <t>DT (transferable non-bridge)</t>
  </si>
  <si>
    <t>Non-bridge (smart-city / urban infrastructure, transferable)</t>
  </si>
  <si>
    <t>N/A</t>
  </si>
  <si>
    <t>Modular / scalable DT architecture</t>
  </si>
  <si>
    <t>Conceptual / architecture</t>
  </si>
  <si>
    <t>Generic; not bridge-specific</t>
  </si>
  <si>
    <t>Transferable urban-infrastructure evidence. The Modular / scalable DT architecture provides modular/adaptive digital-twin or data-management concepts relevant to scalable bridge monitoring, but the study is not a bridge application.</t>
  </si>
  <si>
    <t>No real operational bridge data coded; validation/application context: Conceptual / architecture (Non-bridge (smart-city / urban infrastructure, transferable)).</t>
  </si>
  <si>
    <t>Heravi et al. 2026</t>
  </si>
  <si>
    <t>Zero-shot transfer learning for structural damage detection using target-to-source structure domain data mapping.</t>
  </si>
  <si>
    <t>https://doi.org/10.1016/j.ymssp.2025.113673</t>
  </si>
  <si>
    <t>Generic structures</t>
  </si>
  <si>
    <t>Dynamic response / structural features</t>
  </si>
  <si>
    <t>Zero-shot TL, target-to-source mapping</t>
  </si>
  <si>
    <t>Criteria for validity under structural change</t>
  </si>
  <si>
    <t>Transferable structural/infrastructure methodological evidence. The Zero-shot TL, target-to-source mapping addresses a core SHM function (model updating, domain adaptation, damage diagnosis, uncertainty, or information integration) applicable to bridges; it is excluded from bridge-specific sensitivity counts unless a bridge application is explicit.</t>
  </si>
  <si>
    <t>Explicit transferability/domain-validity relevance is charted through the study's Zero-shot TL, target-to-source mapping approach; the charted limitation is: Criteria for validity under structural change.</t>
  </si>
  <si>
    <t>No real operational bridge data coded; validation/application context: Numerical + experimental (Generic structures).</t>
  </si>
  <si>
    <t>Hielscher et al. 2023</t>
  </si>
  <si>
    <t>A neural network based digital twin model for the structural health monitoring of reinforced concrete bridges.</t>
  </si>
  <si>
    <t>https://doi.org/10.1016/j.istruc.2023.105248</t>
  </si>
  <si>
    <t>Hybrid (DT+ML)</t>
  </si>
  <si>
    <t>RC bridge</t>
  </si>
  <si>
    <t>NN-based DT (surrogate)</t>
  </si>
  <si>
    <t>NN damage detection</t>
  </si>
  <si>
    <t>Numerical / simulation</t>
  </si>
  <si>
    <t>Demonstration-stage</t>
  </si>
  <si>
    <t>No real operational bridge data coded; validation/application context: Numerical / simulation (RC bridge).</t>
  </si>
  <si>
    <t>Implemented technology components: DT, TL/domain adaptation. Missing for complete DT–TL–BIM integration: BIM.</t>
  </si>
  <si>
    <t>Hu et al. 2024</t>
  </si>
  <si>
    <t>An intelligent BIM-enabled digital twin framework for real-time structural health monitoring using wireless IoT sensing, digital signal processing, and structural analysis.</t>
  </si>
  <si>
    <t>https://doi.org/10.1016/j.eswa.2024.124204</t>
  </si>
  <si>
    <t>Partial integration (DT+BIM)</t>
  </si>
  <si>
    <t>Civil structure (BIM-enabled DT; not complete DT–TL–BIM)</t>
  </si>
  <si>
    <t>Wireless IoT</t>
  </si>
  <si>
    <t>BIM-enabled DT, real-time</t>
  </si>
  <si>
    <t>Active decision-support</t>
  </si>
  <si>
    <t>Integration immature</t>
  </si>
  <si>
    <t>Transferable structural/infrastructure methodological evidence. The BIM-enabled DT, real-time; Active decision-support addresses a core SHM function (model updating, domain adaptation, damage diagnosis, uncertainty, or information integration) applicable to bridges; it is excluded from bridge-specific sensitivity counts unless a bridge application is explicit.</t>
  </si>
  <si>
    <t>No real operational bridge data coded; validation/application context: Case study (Civil structure (BIM-enabled DT; not complete DT–TL–BIM)).</t>
  </si>
  <si>
    <t>Hughes et al. 2024</t>
  </si>
  <si>
    <t>Quantifying the value of information transfer in population-based SHM.</t>
  </si>
  <si>
    <t>https://doi.org/10.1007/978-3-031-68142-4_3</t>
  </si>
  <si>
    <t>Simulated structural population</t>
  </si>
  <si>
    <t>Modal/dynamic features</t>
  </si>
  <si>
    <t>Value-of-information transfer, population-based SHM</t>
  </si>
  <si>
    <t>Simulation / decision case study</t>
  </si>
  <si>
    <t>No clear transferability threshold</t>
  </si>
  <si>
    <t>Transferable structural/infrastructure methodological evidence. The Value-of-information transfer, population-based SHM addresses a core SHM function (model updating, domain adaptation, damage diagnosis, uncertainty, or information integration) applicable to bridges; it is excluded from bridge-specific sensitivity counts unless a bridge application is explicit.</t>
  </si>
  <si>
    <t>Explicit transferability/domain-validity relevance is charted through the study's Value-of-information transfer, population-based SHM approach; the charted limitation is: No clear transferability threshold.</t>
  </si>
  <si>
    <t>No real operational bridge data coded; validation/application context: Simulation / decision case study (Simulated structural population).</t>
  </si>
  <si>
    <t>Huang et al. 2024</t>
  </si>
  <si>
    <t>Damage identification of truss bridges based on feature transferable digital twins.</t>
  </si>
  <si>
    <t>https://doi.org/10.1016/j.measurement.2024.114735</t>
  </si>
  <si>
    <t>Hybrid (DT+TL)</t>
  </si>
  <si>
    <t>Truss bridge</t>
  </si>
  <si>
    <t>Measured bridge-response / vibration signals</t>
  </si>
  <si>
    <t>Feature-transferable digital twin using FE benchmark digital model and simulated damage data</t>
  </si>
  <si>
    <t>Deep residual sub-domain adaptation network (DRSAN) / feature alignment</t>
  </si>
  <si>
    <t>Numerical + experimental truss-bridge validation</t>
  </si>
  <si>
    <t>Damage identification</t>
  </si>
  <si>
    <t>Study-specific truss-bridge validation; no fixed MAC, frequency-deviation or feature-distance transferability threshold</t>
  </si>
  <si>
    <t>Explicit transferability/domain-validity relevance is charted through the study's Deep residual sub-domain adaptation network (DRSAN) / feature alignment approach; the charted limitation is: Study-specific truss-bridge validation; no fixed MAC, frequency-deviation or feature-distance transferability threshold.</t>
  </si>
  <si>
    <t>No real operational bridge data coded; validation/application context: Numerical + experimental truss-bridge validation (Truss bridge).</t>
  </si>
  <si>
    <t>Iqbal et al. 2024</t>
  </si>
  <si>
    <t>BIM-IoT integration for remote real-time concrete compressive strength monitoring.</t>
  </si>
  <si>
    <t>https://doi.org/10.1016/j.asej.2024.102863</t>
  </si>
  <si>
    <t>Non-bridge (concrete element)</t>
  </si>
  <si>
    <t>IoT</t>
  </si>
  <si>
    <t>BIM-IoT data integration</t>
  </si>
  <si>
    <t>Experimental / laboratory</t>
  </si>
  <si>
    <t>Construction / operation</t>
  </si>
  <si>
    <t>Concrete-strength monitoring; not bridge-specific but transferable to BIM-IoT lifecycle sensing</t>
  </si>
  <si>
    <t>Transferable non-bridge methodological evidence. The BIM-IoT data integration is relevant to a core bridge-SHM function, but the study does not explicitly validate the method on a bridge and is therefore excluded from bridge-specific sensitivity counts.</t>
  </si>
  <si>
    <t>No real operational bridge data coded; validation/application context: Experimental / laboratory (Non-bridge (concrete element)).</t>
  </si>
  <si>
    <t>Jayasinghe et al. 2025</t>
  </si>
  <si>
    <t>Smart Structural Monitoring: Real-Time Bridge Response Using Digital Twins and Inverse Analysis.</t>
  </si>
  <si>
    <t>https://doi.org/10.3390/s25113513</t>
  </si>
  <si>
    <t>Response (vibration) + inverse analysis</t>
  </si>
  <si>
    <t>DT with inverse analysis, real-time</t>
  </si>
  <si>
    <t>Relies on model fidelity</t>
  </si>
  <si>
    <t>No real operational bridge data coded; validation/application context: Numerical / simulation (Bridge).</t>
  </si>
  <si>
    <t>Jirawattanasomkul et al. 2025</t>
  </si>
  <si>
    <t>Digital twin-based structural health monitoring and measurements of dynamic characteristics in balanced cantilever bridge.</t>
  </si>
  <si>
    <t>https://doi.org/10.1016/j.rcns.2025.08.001</t>
  </si>
  <si>
    <t>Balanced cantilever bridge</t>
  </si>
  <si>
    <t>Vibration / dynamic</t>
  </si>
  <si>
    <t>DT tracking dynamic characteristics</t>
  </si>
  <si>
    <t>Field</t>
  </si>
  <si>
    <t>No adaptive interaction with learning models</t>
  </si>
  <si>
    <t>Real bridge/operational evidence coded from the Balanced cantilever bridge application using Vibration / dynamic; validation context: Field.</t>
  </si>
  <si>
    <t>Karanikoloudis et al. 2024</t>
  </si>
  <si>
    <t>An integrated data acquisition approach for the structural health monitoring and real-time earthquake response assessment of a retrofitted adobe church in Peru.</t>
  </si>
  <si>
    <t>https://doi.org/10.3390/s24165327</t>
  </si>
  <si>
    <t>DT / sensing (transferable non-bridge)</t>
  </si>
  <si>
    <t>Non-bridge (retrofitted masonry/adobe church, transferable)</t>
  </si>
  <si>
    <t>Accelerometers, strain, fibre-optic</t>
  </si>
  <si>
    <t>Dense sensor network / data acquisition DT</t>
  </si>
  <si>
    <t>Operation / post-retrofit</t>
  </si>
  <si>
    <t>Modular DT; data-acquisition focus</t>
  </si>
  <si>
    <t>Transferable non-bridge structural evidence. The Dense sensor network / data acquisition DT evaluates structural monitoring/model adaptation on another civil or structural system and is used only for methodological transferability, not as a bridge application.</t>
  </si>
  <si>
    <t>The monitored civil structure is explicitly a retrofitted adobe church, and the SHM system evaluates the structural behaviour of the retrofitted structure; therefore it provides explicit post-retrofit evidence.</t>
  </si>
  <si>
    <t>No real operational bridge data coded; validation/application context: Field (Non-bridge (retrofitted masonry/adobe church, transferable)).</t>
  </si>
  <si>
    <t>Kim &amp; Mukhiddinov 2023</t>
  </si>
  <si>
    <t>Data anomaly detection for structural health monitoring based on a convolutional neural network.</t>
  </si>
  <si>
    <t>https://doi.org/10.3390/s23208525</t>
  </si>
  <si>
    <t>ML / data-driven</t>
  </si>
  <si>
    <t>Real-world cable-stayed bridge</t>
  </si>
  <si>
    <t>SHM time-series / anomaly data</t>
  </si>
  <si>
    <t>None (CNN anomaly detection)</t>
  </si>
  <si>
    <t>Field dataset + data-augmentation validation</t>
  </si>
  <si>
    <t>Assumes stable data distribution</t>
  </si>
  <si>
    <t>Real bridge/operational evidence coded from the Real-world cable-stayed bridge application using SHM time-series / anomaly data; validation context: Field dataset + data-augmentation validation.</t>
  </si>
  <si>
    <t>Lee et al. 2023</t>
  </si>
  <si>
    <t>Structural damage detection using deep learning and FE model updating techniques.</t>
  </si>
  <si>
    <t>https://doi.org/10.1038/s41598-023-46141-9</t>
  </si>
  <si>
    <t>Structural specimen / FE-updated structure</t>
  </si>
  <si>
    <t>Dynamic response / sensor data</t>
  </si>
  <si>
    <t>FE model updating</t>
  </si>
  <si>
    <t>Deep-learning damage detection</t>
  </si>
  <si>
    <t>Depends on FE fidelity</t>
  </si>
  <si>
    <t>Transferable structural/infrastructure methodological evidence. The FE model updating; Deep-learning damage detection addresses a core SHM function (model updating, domain adaptation, damage diagnosis, uncertainty, or information integration) applicable to bridges; it is excluded from bridge-specific sensitivity counts unless a bridge application is explicit.</t>
  </si>
  <si>
    <t>No real operational bridge data coded; validation/application context: Numerical + experimental (Structural specimen / FE-updated structure).</t>
  </si>
  <si>
    <t>Li L. et al. 2025</t>
  </si>
  <si>
    <t>Digital twin structural health monitoring driven by multi-fidelity time-series surrogate models.</t>
  </si>
  <si>
    <t>https://doi.org/10.1016/j.jii.2025.100918</t>
  </si>
  <si>
    <t>DT (+ML)</t>
  </si>
  <si>
    <t>Civil structure</t>
  </si>
  <si>
    <t>Time-series</t>
  </si>
  <si>
    <t>Multi-fidelity time-series surrogate DT</t>
  </si>
  <si>
    <t>Surrogate / data-driven</t>
  </si>
  <si>
    <t>Numerical / surrogate validation</t>
  </si>
  <si>
    <t>No adaptive learning under evolving conditions</t>
  </si>
  <si>
    <t>Transferable structural/infrastructure methodological evidence. The Multi-fidelity time-series surrogate DT; Surrogate / data-driven addresses a core SHM function (model updating, domain adaptation, damage diagnosis, uncertainty, or information integration) applicable to bridges; it is excluded from bridge-specific sensitivity counts unless a bridge application is explicit.</t>
  </si>
  <si>
    <t>Explicit transferability/domain-validity relevance is charted through the study's Surrogate / data-driven approach; the charted limitation is: No adaptive learning under evolving conditions.</t>
  </si>
  <si>
    <t>No real operational bridge data coded; validation/application context: Numerical / surrogate validation (Civil structure).</t>
  </si>
  <si>
    <t>Li S. et al. 2023</t>
  </si>
  <si>
    <t>Development of a BIM-based bridge maintenance system (BMS) for managing defect data.</t>
  </si>
  <si>
    <t>https://doi.org/10.1038/s41598-023-27924-6</t>
  </si>
  <si>
    <t>Defect / inspection data</t>
  </si>
  <si>
    <t>BIM-based maintenance system (defect data)</t>
  </si>
  <si>
    <t>Case study / BIM maintenance prototype</t>
  </si>
  <si>
    <t>Maintenance</t>
  </si>
  <si>
    <t>Passive data management</t>
  </si>
  <si>
    <t>Real bridge/operational evidence coded from the Bridge application using Defect / inspection data; validation context: Case study / BIM maintenance prototype.</t>
  </si>
  <si>
    <t>Li X. et al. 2024</t>
  </si>
  <si>
    <t>Structural health monitoring system based on digital twins and real-time data-driven methods.</t>
  </si>
  <si>
    <t>https://doi.org/10.1016/j.istruc.2024.107739</t>
  </si>
  <si>
    <t>City bridge</t>
  </si>
  <si>
    <t>Real-time monitoring data</t>
  </si>
  <si>
    <t>DT + real-time data-driven</t>
  </si>
  <si>
    <t>Data-driven adaptation</t>
  </si>
  <si>
    <t>Case study / real-time system demonstration</t>
  </si>
  <si>
    <t>Adaptability depends on domain similarity</t>
  </si>
  <si>
    <t>Direct bridge-specific evidence demonstrating a Digital Twin and real-time data-driven SHM system on a city bridge using operational monitoring data.</t>
  </si>
  <si>
    <t>Explicit transferability/domain-validity relevance is charted through the study's Data-driven adaptation approach; the charted limitation is: Adaptability depends on domain similarity.</t>
  </si>
  <si>
    <t>Real bridge/operational evidence coded from the City bridge application using Real-time monitoring data; validation context: Case study / real-time system demonstration.</t>
  </si>
  <si>
    <t>Ma S. et al. 2025</t>
  </si>
  <si>
    <t>Bridging the Reality Gap in Digital Twins with Context-Aware, Physics-Guided Deep Learning.</t>
  </si>
  <si>
    <t>https://doi.org/10.1061/JCCEE5.CPENG-7024</t>
  </si>
  <si>
    <t>Generic structural DT / simulation benchmark</t>
  </si>
  <si>
    <t>Simulated sensor/time-series data</t>
  </si>
  <si>
    <t>Context-aware physics-guided DL DT</t>
  </si>
  <si>
    <t>Physics-guided DL</t>
  </si>
  <si>
    <t>Preprint (arXiv); heuristic adaptation</t>
  </si>
  <si>
    <t>Transferable structural/infrastructure methodological evidence. The Context-aware physics-guided DL DT; Physics-guided DL addresses a core SHM function (model updating, domain adaptation, damage diagnosis, uncertainty, or information integration) applicable to bridges; it is excluded from bridge-specific sensitivity counts unless a bridge application is explicit.</t>
  </si>
  <si>
    <t>Explicit transferability/domain-validity relevance is charted through the study's Physics-guided DL approach; the charted limitation is: Preprint (arXiv); heuristic adaptation.</t>
  </si>
  <si>
    <t>No real operational bridge data coded; validation/application context: Numerical / simulation (Generic structural DT / simulation benchmark).</t>
  </si>
  <si>
    <t>Ma T. et al. 2025</t>
  </si>
  <si>
    <t>Digital twin for 3D interactive building operations: Integrating BIM, IoT-enabled building automation systems, AI, and mixed reality.</t>
  </si>
  <si>
    <t>https://doi.org/10.1016/j.autcon.2025.106277</t>
  </si>
  <si>
    <t>Hybrid (DT+BIM)</t>
  </si>
  <si>
    <t>Non-bridge (building)</t>
  </si>
  <si>
    <t>IoT (BAS)</t>
  </si>
  <si>
    <t>DT as centralized info hub</t>
  </si>
  <si>
    <t>AI integration</t>
  </si>
  <si>
    <t>BIM + IoT + mixed reality</t>
  </si>
  <si>
    <t>Building case study</t>
  </si>
  <si>
    <t>BIM mostly information hub</t>
  </si>
  <si>
    <t>Transferable non-bridge built-environment evidence. The DT as centralized info hub; AI integration addresses digital information integration, monitoring, adaptation, or lifecycle management that can be methodologically transferred to bridge SHM; it is not treated as bridge-specific evidence.</t>
  </si>
  <si>
    <t>No real operational bridge data coded; validation/application context: Building case study (Non-bridge (building)).</t>
  </si>
  <si>
    <t>Implemented technology components: DT, TL/domain adaptation, BIM. Missing for complete DT–TL–BIM integration: workflow-level complete integration not demonstrated.</t>
  </si>
  <si>
    <t>Mariniello et al. 2025</t>
  </si>
  <si>
    <t>Enhancing structural health monitoring data management and damage detection in digital twins with blockchain and smart contracts.</t>
  </si>
  <si>
    <t>https://doi.org/10.1016/j.autcon.2025.106558</t>
  </si>
  <si>
    <t>Canalone Viaduct, Italy</t>
  </si>
  <si>
    <t>DT w/ blockchain for data mgmt + damage detection</t>
  </si>
  <si>
    <t>None / data-traceability only</t>
  </si>
  <si>
    <t>Framework demonstration / conceptual validation</t>
  </si>
  <si>
    <t>Focus on data management/traceability</t>
  </si>
  <si>
    <t>Direct bridge-specific evidence; the SHERPA Digital Twin and blockchain-enabled SHM data-governance framework was demonstrated through a prototype implementation on the Canalone Viaduct in Italy.</t>
  </si>
  <si>
    <t>No real operational bridge data coded; validation/application context: Framework demonstration / conceptual validation (Canalone Viaduct, Italy).</t>
  </si>
  <si>
    <t>Mousavi et al. 2021</t>
  </si>
  <si>
    <t>Deep neural networks–based damage detection using vibration signals of finite element model and real intact state: An evaluation via a lab-scale offshore jacket structure.</t>
  </si>
  <si>
    <t>https://doi.org/10.1177/1475921720932614</t>
  </si>
  <si>
    <t>Non-bridge (offshore jacket, transferable)</t>
  </si>
  <si>
    <t>FE-model simulated data</t>
  </si>
  <si>
    <t>DNN damage detection</t>
  </si>
  <si>
    <t>Laboratory (lab-scale jacket)</t>
  </si>
  <si>
    <t>Lab-scale; sim-to-real gap</t>
  </si>
  <si>
    <t>Transferable non-bridge structural evidence. The FE-model simulated data; DNN damage detection evaluates structural monitoring/model adaptation on another civil or structural system and is used only for methodological transferability, not as a bridge application.</t>
  </si>
  <si>
    <t>Explicit transferability/domain-validity relevance is charted through the study's DNN damage detection approach; the charted limitation is: Lab-scale; sim-to-real gap.</t>
  </si>
  <si>
    <t>No real operational bridge data coded; validation/application context: Laboratory (lab-scale jacket) (Non-bridge (offshore jacket, transferable)).</t>
  </si>
  <si>
    <t>Nasim et al. 2025</t>
  </si>
  <si>
    <t>A Demonstration of a Digital Twin Framework for Structural Health Monitoring: Application to Bridge Infrastructures.</t>
  </si>
  <si>
    <t>https://doi.org/10.1016/j.iintel.2025.100184</t>
  </si>
  <si>
    <t>Sensor/monitoring data</t>
  </si>
  <si>
    <t>DT framework for SHM</t>
  </si>
  <si>
    <t>Demonstration</t>
  </si>
  <si>
    <t>Demonstration-stage framework</t>
  </si>
  <si>
    <t>Real bridge/operational evidence coded from the Bridge application using Sensor/monitoring data; validation context: Demonstration.</t>
  </si>
  <si>
    <t>Omori Yano et al. 2023</t>
  </si>
  <si>
    <t>Foundations and applicability of transfer learning for structural health monitoring of bridges.</t>
  </si>
  <si>
    <t>https://doi.org/10.1016/j.ymssp.2023.110766</t>
  </si>
  <si>
    <t>Bridge (retrofitted)</t>
  </si>
  <si>
    <t>TL for retrofitted bridges</t>
  </si>
  <si>
    <t>Post-modification / retrofit</t>
  </si>
  <si>
    <t>Case-dependent transfer validity</t>
  </si>
  <si>
    <t>Explicit transferability/domain-validity relevance is charted through the study's TL for retrofitted bridges approach; the charted limitation is: Case-dependent transfer validity.</t>
  </si>
  <si>
    <t>Transfer learning was applied to monitored railway bridges before and after retrofit, using changes in modal/natural-frequency features across the retrofit condition.</t>
  </si>
  <si>
    <t>Real bridge/operational evidence coded from the Bridge (retrofitted) application using Vibration; validation context: Numerical + experimental.</t>
  </si>
  <si>
    <t>Ozdagli &amp; Koutsoukos 2021</t>
  </si>
  <si>
    <t>Domain adaptation for structural fault detection under model uncertainty.</t>
  </si>
  <si>
    <t>https://doi.org/10.36001/ijphm.2021.v12i2.2948</t>
  </si>
  <si>
    <t>Structural fault-detection benchmark</t>
  </si>
  <si>
    <t>Dynamic response features</t>
  </si>
  <si>
    <t>Domain adaptation under model uncertainty</t>
  </si>
  <si>
    <t>Sensitive to train/operational discrepancy</t>
  </si>
  <si>
    <t>Transferable structural/infrastructure methodological evidence. The Domain adaptation under model uncertainty addresses a core SHM function (model updating, domain adaptation, damage diagnosis, uncertainty, or information integration) applicable to bridges; it is excluded from bridge-specific sensitivity counts unless a bridge application is explicit.</t>
  </si>
  <si>
    <t>Explicit transferability/domain-validity relevance is charted through the study's Domain adaptation under model uncertainty approach; the charted limitation is: Sensitive to train/operational discrepancy.</t>
  </si>
  <si>
    <t>No real operational bridge data coded; validation/application context: Numerical / simulation (Structural fault-detection benchmark).</t>
  </si>
  <si>
    <t>Pan et al. 2023</t>
  </si>
  <si>
    <t>Transfer learning-based data anomaly detection for structural health monitoring.</t>
  </si>
  <si>
    <t>https://doi.org/10.1177/14759217221142174</t>
  </si>
  <si>
    <t>Two real long-span bridges / bridge group</t>
  </si>
  <si>
    <t>Multivariate SHM sensor data</t>
  </si>
  <si>
    <t>TL-based data anomaly detection</t>
  </si>
  <si>
    <t>Bridge-group / SHM data case study</t>
  </si>
  <si>
    <t>Standalone data-driven; limited physics</t>
  </si>
  <si>
    <t>Direct bridge-specific evidence using multivariate SHM data from two real long-span bridges for bridge-to-bridge transfer-learning-based anomaly detection.</t>
  </si>
  <si>
    <t>Explicit transferability/domain-validity relevance is charted through the study's TL-based data anomaly detection approach; the charted limitation is: Standalone data-driven; limited physics.</t>
  </si>
  <si>
    <t>Real bridge/operational evidence coded from the Two real long-span bridges / bridge group application using Multivariate SHM sensor data; validation context: Bridge-group / SHM data case study.</t>
  </si>
  <si>
    <t>Park &amp; Oh 2024</t>
  </si>
  <si>
    <t>CNN-based model updating for structures by direct use of dynamic structural response measurements.</t>
  </si>
  <si>
    <t>https://doi.org/10.1016/j.engstruct.2024.117880</t>
  </si>
  <si>
    <t>Generic structure</t>
  </si>
  <si>
    <t>Dynamic response</t>
  </si>
  <si>
    <t>CNN-based model updating</t>
  </si>
  <si>
    <t>CNN</t>
  </si>
  <si>
    <t>Operation / model updating</t>
  </si>
  <si>
    <t>Needs continuous recalibration</t>
  </si>
  <si>
    <t>Transferable structural/infrastructure methodological evidence. The CNN-based model updating; CNN addresses a core SHM function (model updating, domain adaptation, damage diagnosis, uncertainty, or information integration) applicable to bridges; it is excluded from bridge-specific sensitivity counts unless a bridge application is explicit.</t>
  </si>
  <si>
    <t>Explicit transferability/domain-validity relevance is charted through the study's CNN approach; the charted limitation is: Needs continuous recalibration.</t>
  </si>
  <si>
    <t>The study develops CNN-based structural model updating from dynamic responses, but does not explicitly evaluate a repair, retrofit, re-baselining, or defined pre-/post-modification scenario.</t>
  </si>
  <si>
    <t>No real operational bridge data coded; validation/application context: Numerical + experimental (Generic structure).</t>
  </si>
  <si>
    <t>Poole et al. 2023</t>
  </si>
  <si>
    <t>On statistic alignment for domain adaptation in structural health monitoring.</t>
  </si>
  <si>
    <t>https://doi.org/10.1177/14759217221110441</t>
  </si>
  <si>
    <t>Bridge population benchmark (Z24/KW51)</t>
  </si>
  <si>
    <t>Modal features</t>
  </si>
  <si>
    <t>Statistical alignment for domain adaptation</t>
  </si>
  <si>
    <t>Numerical / benchmark</t>
  </si>
  <si>
    <t>No transferability threshold</t>
  </si>
  <si>
    <t>Explicit transferability/domain-validity relevance is charted through the study's Statistical alignment for domain adaptation approach; the charted limitation is: No transferability threshold.</t>
  </si>
  <si>
    <t>No real operational bridge data coded; validation/application context: Numerical / benchmark (Bridge population benchmark (Z24/KW51)).</t>
  </si>
  <si>
    <t>Poole et al. 2025</t>
  </si>
  <si>
    <t>Physics-informed transfer learning for SHM via feature selection.</t>
  </si>
  <si>
    <t>https://doi.org/10.1016/j.ymssp.2025.113013</t>
  </si>
  <si>
    <t>Structural population / bridge benchmarks</t>
  </si>
  <si>
    <t>Physics knowledge</t>
  </si>
  <si>
    <t>Physics-informed TL, feature selection</t>
  </si>
  <si>
    <t>Limited physics integration</t>
  </si>
  <si>
    <t>Explicit transferability/domain-validity relevance is charted through the study's Physics-informed TL, feature selection approach; the charted limitation is: Limited physics integration.</t>
  </si>
  <si>
    <t>No real operational bridge data coded; validation/application context: Numerical + experimental (Structural population / bridge benchmarks).</t>
  </si>
  <si>
    <t>Porto Oliveira &amp; Sotelino 2025</t>
  </si>
  <si>
    <t>Infrastructure management via BIM model: integration of structural health monitoring and ANN-based damage assessment.</t>
  </si>
  <si>
    <t>https://doi.org/10.36680/j.itcon.2025.067</t>
  </si>
  <si>
    <t>Hybrid (BIM+ML)</t>
  </si>
  <si>
    <t>Civil infrastructure</t>
  </si>
  <si>
    <t>ANN-based damage assessment</t>
  </si>
  <si>
    <t>BIM model integration</t>
  </si>
  <si>
    <t>Case study / infrastructure management demonstration</t>
  </si>
  <si>
    <t>BIM mostly as integration layer</t>
  </si>
  <si>
    <t>Transferable structural/infrastructure methodological evidence. The ANN-based damage assessment; BIM model integration addresses a core SHM function (model updating, domain adaptation, damage diagnosis, uncertainty, or information integration) applicable to bridges; it is excluded from bridge-specific sensitivity counts unless a bridge application is explicit.</t>
  </si>
  <si>
    <t>No real operational bridge data coded; validation/application context: Case study / infrastructure management demonstration (Civil infrastructure).</t>
  </si>
  <si>
    <t>Implemented technology components: TL/domain adaptation, BIM. Missing for complete DT–TL–BIM integration: DT.</t>
  </si>
  <si>
    <t>Qin et al. 2023</t>
  </si>
  <si>
    <t>A physics-data hybrid framework to develop bridge digital twin model in structural health monitoring.</t>
  </si>
  <si>
    <t>https://doi.org/10.1142/S0219455423400370</t>
  </si>
  <si>
    <t>DT as physics-informed reference</t>
  </si>
  <si>
    <t>Physics-data coupling</t>
  </si>
  <si>
    <t>Numerical / lab</t>
  </si>
  <si>
    <t>Depends on DT fidelity</t>
  </si>
  <si>
    <t>No real operational bridge data coded; validation/application context: Numerical / lab (Bridge).</t>
  </si>
  <si>
    <t>Qiu et al. 2024</t>
  </si>
  <si>
    <t>Multimodal fusion network for crack segmentation with modified U-net and transfer learning–based MobileNetV2.</t>
  </si>
  <si>
    <t>https://doi.org/10.1061/JITSE4.ISENG-2499</t>
  </si>
  <si>
    <t>TL (image-based)</t>
  </si>
  <si>
    <t>Pavement / bridge-surface crack images</t>
  </si>
  <si>
    <t>Image / vision (crack)</t>
  </si>
  <si>
    <t>TL (MobileNetV2) for crack segmentation</t>
  </si>
  <si>
    <t>Image benchmark validation</t>
  </si>
  <si>
    <t>Inspection</t>
  </si>
  <si>
    <t>SCOPE: image-based, not vibration</t>
  </si>
  <si>
    <t>No real operational bridge data coded; validation/application context: Image benchmark validation (Pavement / bridge-surface crack images).</t>
  </si>
  <si>
    <t>Quinn et al. 2022</t>
  </si>
  <si>
    <t>Building Automation System Data Integration with BIM: Data Structure and Supporting Case Study.</t>
  </si>
  <si>
    <t>https://doi.org/10.48550/arXiv.2205.05518</t>
  </si>
  <si>
    <t>Scopus / Web of Science search corpus; arXiv stable record</t>
  </si>
  <si>
    <t>BAS data</t>
  </si>
  <si>
    <t>BIM data integration (BAS)</t>
  </si>
  <si>
    <t>Preprint (arXiv); no model updating</t>
  </si>
  <si>
    <t>Transferable non-bridge built-environment evidence. The BIM data integration (BAS) addresses digital information integration, monitoring, adaptation, or lifecycle management that can be methodologically transferred to bridge SHM; it is not treated as bridge-specific evidence.</t>
  </si>
  <si>
    <t>No real operational bridge data coded; validation/application context: Case study (Non-bridge (building)).</t>
  </si>
  <si>
    <t>Roy et al. 2026</t>
  </si>
  <si>
    <t>Utilizing Transformer-Based Semantic Segmentation for Damage and Component Detection in Civil Infrastructure Inspection.</t>
  </si>
  <si>
    <t>https://doi.org/10.1061/JITSE4.ISENG-2748</t>
  </si>
  <si>
    <t>ML / vision</t>
  </si>
  <si>
    <t>Civil infrastructure inspection dataset</t>
  </si>
  <si>
    <t>Image / vision</t>
  </si>
  <si>
    <t>Transformer semantic segmentation</t>
  </si>
  <si>
    <t>Image benchmark / field-image validation</t>
  </si>
  <si>
    <t>SCOPE: image-based inspection</t>
  </si>
  <si>
    <t>Transferable structural/infrastructure methodological evidence. The Transformer semantic segmentation addresses a core SHM function (model updating, domain adaptation, damage diagnosis, uncertainty, or information integration) applicable to bridges; it is excluded from bridge-specific sensitivity counts unless a bridge application is explicit.</t>
  </si>
  <si>
    <t>No real operational bridge data coded; validation/application context: Image benchmark / field-image validation (Civil infrastructure inspection dataset).</t>
  </si>
  <si>
    <t>Sarmadi et al. 2021</t>
  </si>
  <si>
    <t>Bridge health monitoring in environmental variability by new clustering and threshold estimation methods.</t>
  </si>
  <si>
    <t>https://doi.org/10.1007/s13349-021-00472-1</t>
  </si>
  <si>
    <t>Vibration (modal)</t>
  </si>
  <si>
    <t>Clustering + threshold estimation</t>
  </si>
  <si>
    <t>Z24 bridge benchmark / comparative studies</t>
  </si>
  <si>
    <t>Environmental-variability focus</t>
  </si>
  <si>
    <t>Explicit transferability/domain-validity relevance is charted through the study's Clustering + threshold estimation approach; the charted limitation is: Environmental-variability focus.</t>
  </si>
  <si>
    <t>Real bridge/operational evidence coded from the Bridge application using Vibration (modal); validation context: Z24 bridge benchmark / comparative studies.</t>
  </si>
  <si>
    <t>Shi et al. 2022</t>
  </si>
  <si>
    <t>A novel unsupervised real‐time damage detection method for structural health monitoring using machine learning.</t>
  </si>
  <si>
    <t>https://doi.org/10.1002/stc.3042</t>
  </si>
  <si>
    <t>Structural response time-series</t>
  </si>
  <si>
    <t>Unsupervised real-time damage detection</t>
  </si>
  <si>
    <t>Simulated benchmark / numerical validation</t>
  </si>
  <si>
    <t>Detection only; no localisation</t>
  </si>
  <si>
    <t>Transferable structural/infrastructure methodological evidence. The Unsupervised real-time damage detection addresses a core SHM function (model updating, domain adaptation, damage diagnosis, uncertainty, or information integration) applicable to bridges; it is excluded from bridge-specific sensitivity counts unless a bridge application is explicit.</t>
  </si>
  <si>
    <t>No real operational bridge data coded; validation/application context: Simulated benchmark / numerical validation (Generic structures).</t>
  </si>
  <si>
    <t>Siow et al. 2025</t>
  </si>
  <si>
    <t>Development and implementation of medium-fidelity physics-based model for hybrid digital twin-based damage identification of piping structures.</t>
  </si>
  <si>
    <t>https://doi.org/10.1007/s13349-024-00856-z</t>
  </si>
  <si>
    <t>Non-bridge (piping, transferable)</t>
  </si>
  <si>
    <t>Vibration / modal</t>
  </si>
  <si>
    <t>Medium-fidelity FE DT</t>
  </si>
  <si>
    <t>Hybrid DT damage identification</t>
  </si>
  <si>
    <t>Component-level; depends on DT fidelity</t>
  </si>
  <si>
    <t>Transferable non-bridge structural evidence. The Medium-fidelity FE DT; Hybrid DT damage identification evaluates structural monitoring/model adaptation on another civil or structural system and is used only for methodological transferability, not as a bridge application.</t>
  </si>
  <si>
    <t>No real operational bridge data coded; validation/application context: Laboratory (Non-bridge (piping, transferable)).</t>
  </si>
  <si>
    <t>Siow et al. 2026</t>
  </si>
  <si>
    <t>Leveraging finite element model with transfer learning for data-driven-based structural damage identification.</t>
  </si>
  <si>
    <t>https://doi.org/10.1007/s42417-026-02413-y</t>
  </si>
  <si>
    <t>Non-bridge (plate, transferable)</t>
  </si>
  <si>
    <t>Mode-shape differences</t>
  </si>
  <si>
    <t>FE model as source data</t>
  </si>
  <si>
    <t>Semi-supervised DA (SMIDA)</t>
  </si>
  <si>
    <t>Laboratory (Perspex plate)</t>
  </si>
  <si>
    <t>Operation / damage identification</t>
  </si>
  <si>
    <t>Single-damage; small-scale; domain dependency</t>
  </si>
  <si>
    <t>Transferable non-bridge structural evidence. The FE model as source data; Semi-supervised DA (SMIDA) evaluates structural monitoring/model adaptation on another civil or structural system and is used only for methodological transferability, not as a bridge application.</t>
  </si>
  <si>
    <t>Explicit transferability/domain-validity relevance is charted through the study's Semi-supervised DA (SMIDA) approach; the charted limitation is: Single-damage; small-scale; domain dependency.</t>
  </si>
  <si>
    <t>The study evaluates FE-to-experimental transfer learning for damage identification in a plate-like structure; it does not explicitly examine retrofit, repair, post-modification re-baselining, or a pre-/post-modification structural scenario.</t>
  </si>
  <si>
    <t>No real operational bridge data coded; validation/application context: Laboratory (Perspex plate) (Non-bridge (plate, transferable)).</t>
  </si>
  <si>
    <t>Song et al. 2024</t>
  </si>
  <si>
    <t>Transfer learning for structure damage detection of bridges through dynamic distribution adaptation.</t>
  </si>
  <si>
    <t>https://doi.org/10.1016/j.istruc.2024.106972</t>
  </si>
  <si>
    <t>Dynamic distribution adaptation</t>
  </si>
  <si>
    <t>Validated under simplified shifts</t>
  </si>
  <si>
    <t>Explicit transferability/domain-validity relevance is charted through the study's Dynamic distribution adaptation approach; the charted limitation is: Validated under simplified shifts.</t>
  </si>
  <si>
    <t>Svendsen et al. 2022</t>
  </si>
  <si>
    <t>A data-based structural health monitoring approach for damage detection in steel bridges using experimental data.</t>
  </si>
  <si>
    <t>https://doi.org/10.1007/s13349-021-00530-8</t>
  </si>
  <si>
    <t>Steel bridge</t>
  </si>
  <si>
    <t>Supervised / unsupervised damage detection</t>
  </si>
  <si>
    <t>Field (experimental)</t>
  </si>
  <si>
    <t>Needs representative training data</t>
  </si>
  <si>
    <t>Real bridge/operational evidence coded from the Steel bridge application using Vibration; validation context: Field (experimental).</t>
  </si>
  <si>
    <t>Teng et al. 2023</t>
  </si>
  <si>
    <t>Structural damage detection based on transfer learning strategy using digital twins of bridges.</t>
  </si>
  <si>
    <t>https://doi.org/10.1016/j.ymssp.2023.110160</t>
  </si>
  <si>
    <t>DT of bridge as source</t>
  </si>
  <si>
    <t>TL strategy using DT (sim-to-real)</t>
  </si>
  <si>
    <t>Depends on source-target consistency</t>
  </si>
  <si>
    <t>Explicit transferability/domain-validity relevance is charted through the study's TL strategy using DT (sim-to-real) approach; the charted limitation is: Depends on source-target consistency.</t>
  </si>
  <si>
    <t>Real bridge/operational evidence coded from the Bridge application using Vibration; validation context: Numerical + experimental.</t>
  </si>
  <si>
    <t>Torzoni et al. 2024</t>
  </si>
  <si>
    <t>A digital twin framework for civil engineering structures.</t>
  </si>
  <si>
    <t>https://doi.org/10.1016/j.cma.2023.116584</t>
  </si>
  <si>
    <t>Civil structures (generic)</t>
  </si>
  <si>
    <t>Vibration (ROM-generated)</t>
  </si>
  <si>
    <t>Predictive DT, Bayesian graphical model, ANN assimilation</t>
  </si>
  <si>
    <t>Numerical (reduced-order model)</t>
  </si>
  <si>
    <t>Operation / maintenance planning</t>
  </si>
  <si>
    <t>Synthetic case studies (cantilever beam and railway bridge)</t>
  </si>
  <si>
    <t>Transferable structural/infrastructure methodological evidence. The Predictive DT, Bayesian graphical model, ANN assimilation addresses a core SHM function (model updating, domain adaptation, damage diagnosis, uncertainty, or information integration) applicable to bridges; it is excluded from bridge-specific sensitivity counts unless a bridge application is explicit.</t>
  </si>
  <si>
    <t>No real operational bridge data coded; validation/application context: Numerical (reduced-order model) (Civil structures (generic)).</t>
  </si>
  <si>
    <t>Velez et al. 2024</t>
  </si>
  <si>
    <t>Enhancing structural health monitoring with machine learning for accurate prediction of retrofitting effects.</t>
  </si>
  <si>
    <t>https://doi.org/10.3934/math.20241472</t>
  </si>
  <si>
    <t>KW51 bridge (retrofitted)</t>
  </si>
  <si>
    <t>Structural parameters / response features</t>
  </si>
  <si>
    <t>ML prediction of retrofitting effects</t>
  </si>
  <si>
    <t>Numerical / dataset validation</t>
  </si>
  <si>
    <t>Data-driven; limited physics</t>
  </si>
  <si>
    <t>Direct bridge-specific evidence using measured KW51 bridge data to distinguish structural behaviour before and after retrofitting.</t>
  </si>
  <si>
    <t>Explicit transferability/domain-validity relevance is charted through the study's ML prediction of retrofitting effects approach; the charted limitation is: Data-driven; limited physics.</t>
  </si>
  <si>
    <t>The study explicitly predicts and distinguishes structural behaviour before and after retrofitting using the KW51 bridge dataset; retrofit effects are the central target of the analysis.</t>
  </si>
  <si>
    <t>Real bridge/operational evidence coded from the KW51 bridge (retrofitted) application using Structural parameters / response features; validation context: Numerical / dataset validation.</t>
  </si>
  <si>
    <t>Wang B. et al. 2023</t>
  </si>
  <si>
    <t>Digital twin modeling for structural strength monitoring via transfer learning-based multi-source data fusion.</t>
  </si>
  <si>
    <t>https://doi.org/10.1016/j.ymssp.2023.110625</t>
  </si>
  <si>
    <t>Partial integration (DT+TL)</t>
  </si>
  <si>
    <t>Generic structure / strength-monitoring case (DT–TL)</t>
  </si>
  <si>
    <t>Multi-source data</t>
  </si>
  <si>
    <t>DT for strength monitoring</t>
  </si>
  <si>
    <t>TL-based multi-source data fusion</t>
  </si>
  <si>
    <t>Early-stage; system-level consistency</t>
  </si>
  <si>
    <t>Transferable structural/infrastructure methodological evidence. The DT for strength monitoring; TL-based multi-source data fusion addresses a core SHM function (model updating, domain adaptation, damage diagnosis, uncertainty, or information integration) applicable to bridges; it is excluded from bridge-specific sensitivity counts unless a bridge application is explicit.</t>
  </si>
  <si>
    <t>Explicit transferability/domain-validity relevance is charted through the study's TL-based multi-source data fusion approach; the charted limitation is: Early-stage; system-level consistency.</t>
  </si>
  <si>
    <t>No real operational bridge data coded; validation/application context: Numerical / lab (Generic structure / strength-monitoring case (DT–TL)).</t>
  </si>
  <si>
    <t>Wang T. et al. 2022</t>
  </si>
  <si>
    <t>Digital twin-enabled built environment sensing and monitoring through semantic enrichment of BIM with SensorML.</t>
  </si>
  <si>
    <t>https://doi.org/10.1016/j.autcon.2022.104625</t>
  </si>
  <si>
    <t>Non-bridge (built environment)</t>
  </si>
  <si>
    <t>Sensor (SensorML)</t>
  </si>
  <si>
    <t>DT-enabled sensing</t>
  </si>
  <si>
    <t>BIM semantic enrichment</t>
  </si>
  <si>
    <t>Case study / SensorML–BIM demonstration</t>
  </si>
  <si>
    <t>BIM mostly visualization/storage</t>
  </si>
  <si>
    <t>Transferable non-bridge built-environment evidence. The DT-enabled sensing; BIM semantic enrichment addresses digital information integration, monitoring, adaptation, or lifecycle management that can be methodologically transferred to bridge SHM; it is not treated as bridge-specific evidence.</t>
  </si>
  <si>
    <t>No real operational bridge data coded; validation/application context: Case study / SensorML–BIM demonstration (Non-bridge (built environment)).</t>
  </si>
  <si>
    <t>Ye et al. 2022</t>
  </si>
  <si>
    <t>Implementing bridge model updating for operation and maintenance purposes: Examination based on UK practitioners’ views.</t>
  </si>
  <si>
    <t>https://doi.org/10.17863/CAM.63910 (repository DOI)</t>
  </si>
  <si>
    <t>Scopus / Web of Science search corpus; institutional repository stable record</t>
  </si>
  <si>
    <t>DT / model updating</t>
  </si>
  <si>
    <t>Bridge model updating (O&amp;M)</t>
  </si>
  <si>
    <t>Field (practitioner survey)</t>
  </si>
  <si>
    <t>Operation &amp; maintenance / model updating</t>
  </si>
  <si>
    <t>Fidelity degrades as structure evolves</t>
  </si>
  <si>
    <t>Explicit domain-validity, uncertainty, evolving-condition or source–target consistency issue is discussed; charted limitation: Fidelity degrades as structure evolves.</t>
  </si>
  <si>
    <t>The paper addresses implementation of bridge model updating for operation and maintenance, but does not itself constitute an explicit pre-/post-retrofit, post-modification, or structural-state-transfer case study.</t>
  </si>
  <si>
    <t>No real operational bridge data coded; validation/application context: Field (practitioner survey) (Bridge).</t>
  </si>
  <si>
    <t>Zhai et al. 2025</t>
  </si>
  <si>
    <t>Coupled data/physics-driven framework for accurate and efficient structural response simulation.</t>
  </si>
  <si>
    <t>https://doi.org/10.1016/j.engstruct.2025.119636</t>
  </si>
  <si>
    <t>Structural response simulation data</t>
  </si>
  <si>
    <t>Coupled data/physics framework</t>
  </si>
  <si>
    <t>Data/physics-driven</t>
  </si>
  <si>
    <t>Numerical simulation</t>
  </si>
  <si>
    <t>Depends on model fidelity</t>
  </si>
  <si>
    <t>Transferable structural/infrastructure methodological evidence. The Coupled data/physics framework; Data/physics-driven addresses a core SHM function (model updating, domain adaptation, damage diagnosis, uncertainty, or information integration) applicable to bridges; it is excluded from bridge-specific sensitivity counts unless a bridge application is explicit.</t>
  </si>
  <si>
    <t>No real operational bridge data coded; validation/application context: Numerical simulation (Generic structure).</t>
  </si>
  <si>
    <t>Zhang X., Li &amp; Qu 2024</t>
  </si>
  <si>
    <t>Data-driven structural health monitoring: Leveraging amplitude-aware permutation entropy of time series model residuals for nonlinear damage diagnosis.</t>
  </si>
  <si>
    <t>https://doi.org/10.3390/s24020505</t>
  </si>
  <si>
    <t>Time-series residuals</t>
  </si>
  <si>
    <t>Permutation-entropy nonlinear diagnosis</t>
  </si>
  <si>
    <t>Single feature; nonlinear focus</t>
  </si>
  <si>
    <t>Transferable structural/infrastructure methodological evidence. The Permutation-entropy nonlinear diagnosis addresses a core SHM function (model updating, domain adaptation, damage diagnosis, uncertainty, or information integration) applicable to bridges; it is excluded from bridge-specific sensitivity counts unless a bridge application is explicit.</t>
  </si>
  <si>
    <t>Zhang X., Zhu, Wang &amp; Li 2025</t>
  </si>
  <si>
    <t>Structural damage detection based on transmissibility functions with unsupervised domain adaptation.</t>
  </si>
  <si>
    <t>https://doi.org/10.1016/j.engstruct.2024.119142</t>
  </si>
  <si>
    <t>Civil structure / bridge-related</t>
  </si>
  <si>
    <t>Transmissibility functions</t>
  </si>
  <si>
    <t>Unsupervised domain adaptation</t>
  </si>
  <si>
    <t>Operation / domain adaptation</t>
  </si>
  <si>
    <t>Feature distributions shift with condition</t>
  </si>
  <si>
    <t>Transferable structural/infrastructure methodological evidence. The Unsupervised domain adaptation addresses a core SHM function (model updating, domain adaptation, damage diagnosis, uncertainty, or information integration) applicable to bridges; it is excluded from bridge-specific sensitivity counts unless a bridge application is explicit.</t>
  </si>
  <si>
    <t>Explicit transferability/domain-validity relevance is charted through the study's Unsupervised domain adaptation approach; the charted limitation is: Feature distributions shift with condition.</t>
  </si>
  <si>
    <t>The study addresses source-target mismatch caused by modelling errors and operational/environmental variability using unsupervised domain adaptation, but does not explicitly evaluate repair, retrofit, or a pre-/post-modification structural state.</t>
  </si>
  <si>
    <t>No real operational bridge data coded; validation/application context: Numerical + experimental (Civil structure / bridge-related).</t>
  </si>
  <si>
    <t>Zhang X., Zhu, Yu &amp; Li 2025</t>
  </si>
  <si>
    <t>Transfer learning-based structural damage identification for building structures with limited measurement data.</t>
  </si>
  <si>
    <t>https://doi.org/10.1142/S0219455425500932</t>
  </si>
  <si>
    <t>Limited measurement data</t>
  </si>
  <si>
    <t>TL for limited data</t>
  </si>
  <si>
    <t>Limited target data</t>
  </si>
  <si>
    <t>Transferable non-bridge built-environment evidence. The TL for limited data addresses digital information integration, monitoring, adaptation, or lifecycle management that can be methodologically transferred to bridge SHM; it is not treated as bridge-specific evidence.</t>
  </si>
  <si>
    <t>Explicit transferability/domain-validity relevance is charted through the study's TL for limited data approach; the charted limitation is: Limited target data.</t>
  </si>
  <si>
    <t>No real operational bridge data coded; validation/application context: Numerical simulation (Non-bridge (building)).</t>
  </si>
  <si>
    <t>Zhao et al. 2022</t>
  </si>
  <si>
    <t>Multivariate sparse Bayesian learning for guided wave‐based multidamage localization in plate‐like structures.</t>
  </si>
  <si>
    <t>https://doi.org/10.1002/stc.2923</t>
  </si>
  <si>
    <t>Guided waves</t>
  </si>
  <si>
    <t>Sparse Bayesian multidamage localisation</t>
  </si>
  <si>
    <t>Plate-like; guided-wave specific</t>
  </si>
  <si>
    <t>Transferable non-bridge structural evidence. The Sparse Bayesian multidamage localisation evaluates structural monitoring/model adaptation on another civil or structural system and is used only for methodological transferability, not as a bridge application.</t>
  </si>
  <si>
    <t>No real operational bridge data coded; validation/application context: Numerical / lab (Non-bridge (plate, transferable)).</t>
  </si>
  <si>
    <t>Zheng et al. 2025</t>
  </si>
  <si>
    <t>Data augmentation of dynamic responses for structural health monitoring using denoising diffusion probabilistic models.</t>
  </si>
  <si>
    <t>https://doi.org/10.1016/j.engstruct.2025.119685</t>
  </si>
  <si>
    <t>Bridge / civil infrastructure benchmark</t>
  </si>
  <si>
    <t>Synthetic-data generation (diffusion)</t>
  </si>
  <si>
    <t>Data augmentation</t>
  </si>
  <si>
    <t>Depends on synthetic-data realism</t>
  </si>
  <si>
    <t>No real operational bridge data coded; validation/application context: Numerical / benchmark (Bridge / civil infrastructure benchmark).</t>
  </si>
  <si>
    <t>Kamal et al. 2025</t>
  </si>
  <si>
    <t>Barriers in The Integration of Digital Twins (DTs) And Building Information Modelling (BIM) For Predictive Maintenance in Facility Management.</t>
  </si>
  <si>
    <t>https://doi.org/10.22452/jdbe.spV.9</t>
  </si>
  <si>
    <t>Non-bridge (facility mgmt)</t>
  </si>
  <si>
    <t>N/A (barriers analysis)</t>
  </si>
  <si>
    <t>DT-BIM integration (barriers study)</t>
  </si>
  <si>
    <t>Survey / qualitative review</t>
  </si>
  <si>
    <t>Transferable non-bridge built-environment evidence. The DT-BIM integration (barriers study); Data-management addresses digital information integration, monitoring, adaptation, or lifecycle management that can be methodologically transferred to bridge SHM; it is not treated as bridge-specific evidence.</t>
  </si>
  <si>
    <t>No real operational bridge data coded; validation/application context: Survey / qualitative review (Non-bridge (facility mgmt)).</t>
  </si>
  <si>
    <t>Kamariotis et al. 2022</t>
  </si>
  <si>
    <t>Value of information from vibration-based structural health monitoring extracted via Bayesian model updating.</t>
  </si>
  <si>
    <t>https://doi.org/10.1016/j.ymssp.2021.108465</t>
  </si>
  <si>
    <t>DT / value-of-info</t>
  </si>
  <si>
    <t>Bayesian model updating (value of information)</t>
  </si>
  <si>
    <t>Numerical / value-of-information case study</t>
  </si>
  <si>
    <t>Vibration-based value-of-information focus; no DT-TL-BIM integration or adaptive retraining rule</t>
  </si>
  <si>
    <t>No real operational bridge data coded; validation/application context: Numerical / value-of-information case study (Bridge).</t>
  </si>
  <si>
    <t>Kamariotis et al. 2023</t>
  </si>
  <si>
    <t>A framework for quantifying the value of vibration-based structural health monitoring.</t>
  </si>
  <si>
    <t>https://doi.org/10.1016/j.ymssp.2022.109708</t>
  </si>
  <si>
    <t>Value-of-SHM quantification framework</t>
  </si>
  <si>
    <t>Numerical / decision-analysis case study</t>
  </si>
  <si>
    <t>Decision-analysis focus; transferability thresholds and post-modification validation not addressed</t>
  </si>
  <si>
    <t>Explicit domain-validity, uncertainty, evolving-condition or source–target consistency issue is discussed; charted limitation: Decision-analysis focus; transferability thresholds and post-modification validation not addressed.</t>
  </si>
  <si>
    <t>No real operational bridge data coded; validation/application context: Numerical / decision-analysis case study (Bridge).</t>
  </si>
  <si>
    <t>Ao et al. 2026</t>
  </si>
  <si>
    <t>Experimental–numerical Framework for Intelligent Finite Element Model Updating of a Full-scale Laboratory Footbridge Structure.</t>
  </si>
  <si>
    <t>https://doi.org/10.1007/s42417-026-02402-1</t>
  </si>
  <si>
    <t>Full-scale laboratory footbridge</t>
  </si>
  <si>
    <t>Vibration / modal response</t>
  </si>
  <si>
    <t>Experimental–numerical FEM updating; calibration using natural frequency and MAC</t>
  </si>
  <si>
    <t>Full-scale laboratory experiment + numerical model updating</t>
  </si>
  <si>
    <t>Operation / model calibration</t>
  </si>
  <si>
    <t>Laboratory footbridge; requires validation on operational bridges</t>
  </si>
  <si>
    <t>No real operational bridge data coded; validation/application context: Full-scale laboratory experiment + numerical model updating (Full-scale laboratory footbridge).</t>
  </si>
  <si>
    <t>De Angelis et al. 2024</t>
  </si>
  <si>
    <t>Dynamic identification methods and artificial intelligence algorithms for damage detection of masonry infills.</t>
  </si>
  <si>
    <t>https://doi.org/10.1007/s13349-024-00790-0</t>
  </si>
  <si>
    <t>Non-bridge masonry infill (transferable)</t>
  </si>
  <si>
    <t>Dynamic identification / vibration response</t>
  </si>
  <si>
    <t>AI-based damage detection from dynamic features</t>
  </si>
  <si>
    <t>Laboratory / experimental dynamic identification</t>
  </si>
  <si>
    <t>Operation / damage diagnosis</t>
  </si>
  <si>
    <t>Non-bridge case; transferability to bridge SHM is indirect</t>
  </si>
  <si>
    <t>Transferable non-bridge structural evidence. The AI-based damage detection from dynamic features evaluates structural monitoring/model adaptation on another civil or structural system and is used only for methodological transferability, not as a bridge application.</t>
  </si>
  <si>
    <t>No real operational bridge data coded; validation/application context: Laboratory / experimental dynamic identification (Non-bridge masonry infill (transferable)).</t>
  </si>
  <si>
    <t>Ferreira et al. 2025</t>
  </si>
  <si>
    <t>Transfer learning and Bayesian calibration addressing data scarcity and uncertainty for structural health monitoring of twin concrete bridges.</t>
  </si>
  <si>
    <t>https://doi.org/10.1016/j.ymssp.2025.112845</t>
  </si>
  <si>
    <t>TL / Bayesian calibration</t>
  </si>
  <si>
    <t>Twin concrete bridges</t>
  </si>
  <si>
    <t>Dynamic response / monitoring data</t>
  </si>
  <si>
    <t>Bayesian-calibrated bridge model for uncertainty-aware transfer</t>
  </si>
  <si>
    <t>Transfer learning + Bayesian calibration</t>
  </si>
  <si>
    <t>Twin-bridge case study</t>
  </si>
  <si>
    <t>Operation / data-scarce monitoring</t>
  </si>
  <si>
    <t>Requires structurally similar source-target bridges</t>
  </si>
  <si>
    <t>Explicit transferability/domain-validity relevance is charted through the study's Transfer learning + Bayesian calibration approach; the charted limitation is: Requires structurally similar source-target bridges.</t>
  </si>
  <si>
    <t>Real bridge/operational evidence coded from the Twin concrete bridges application using Dynamic response / monitoring data; validation context: Twin-bridge case study.</t>
  </si>
  <si>
    <t>Giglioni et al. 2024</t>
  </si>
  <si>
    <t>A domain adaptation approach to damage classification with an application to bridge monitoring.</t>
  </si>
  <si>
    <t>https://doi.org/10.1016/j.ymssp.2024.111135</t>
  </si>
  <si>
    <t>Bridge population / benchmark bridges</t>
  </si>
  <si>
    <t>Vibration / damage-sensitive features</t>
  </si>
  <si>
    <t>Domain adaptation for damage classification</t>
  </si>
  <si>
    <t>Bridge monitoring case studies / benchmark data</t>
  </si>
  <si>
    <t>Domain adaptation depends on source-target feature alignment</t>
  </si>
  <si>
    <t>Explicit transferability/domain-validity relevance is charted through the study's Domain adaptation for damage classification approach; the charted limitation is: Domain adaptation depends on source-target feature alignment.</t>
  </si>
  <si>
    <t>Real bridge/operational evidence coded from the Bridge population / benchmark bridges application using Vibration / damage-sensitive features; validation context: Bridge monitoring case studies / benchmark data.</t>
  </si>
  <si>
    <t>Guillory et al. 2021</t>
  </si>
  <si>
    <t>Predicting with confidence on unseen distributions.</t>
  </si>
  <si>
    <t>https://doi.org/10.1109/ICCV48922.2021.00117</t>
  </si>
  <si>
    <t>ML / uncertainty estimation</t>
  </si>
  <si>
    <t>Non-bridge (general ML, transferable)</t>
  </si>
  <si>
    <t>Prediction confidence / output probabilities</t>
  </si>
  <si>
    <t>Confidence-based unseen-distribution performance estimation</t>
  </si>
  <si>
    <t>Benchmark unseen-distribution evaluation</t>
  </si>
  <si>
    <t>Model validation / uncertainty assessment</t>
  </si>
  <si>
    <t>Not SHM-specific; used only to support confidence-based reasoning</t>
  </si>
  <si>
    <t>Transferable methodological evidence only. The study is not SHM-specific, but its Confidence-based unseen-distribution performance estimation supports confidence/uncertainty assessment under unseen distributions, which is relevant to domain-shift validity checks; it is excluded from bridge-specific sensitivity counts.</t>
  </si>
  <si>
    <t>Explicit transferability/domain-validity relevance is charted through the study's Confidence-based unseen-distribution performance estimation approach; the charted limitation is: Not SHM-specific; used only to support confidence-based reasoning.</t>
  </si>
  <si>
    <t>No real operational bridge data coded; validation/application context: Benchmark unseen-distribution evaluation (Non-bridge (general ML, transferable)).</t>
  </si>
  <si>
    <t>Huang et al. 2026</t>
  </si>
  <si>
    <t>Building information modeling supported bridge structural health diagnosis and prognosis.</t>
  </si>
  <si>
    <t>https://doi.org/10.1177/14759217241293460</t>
  </si>
  <si>
    <t>Reinforced concrete culvert bridge</t>
  </si>
  <si>
    <t>Strain measurements / diagnostic indicators</t>
  </si>
  <si>
    <t>BIM-linked diagnosis and prognosis visualization</t>
  </si>
  <si>
    <t>BIM-supported diagnosis/prognosis visualization</t>
  </si>
  <si>
    <t>Bridge case study / data-driven SHM workflow</t>
  </si>
  <si>
    <t>Diagnosis, prognosis &amp; maintenance planning</t>
  </si>
  <si>
    <t>Prototype framework; needs broader field validation</t>
  </si>
  <si>
    <t>Real bridge/operational evidence coded from the Reinforced concrete culvert bridge application using Strain measurements / diagnostic indicators; validation context: Bridge case study / data-driven SHM workflow.</t>
  </si>
  <si>
    <t>Li et al. 2022</t>
  </si>
  <si>
    <t>A BIM based approach for structural health monitoring of bridges.</t>
  </si>
  <si>
    <t>https://doi.org/10.1007/s12205-021-2040-3</t>
  </si>
  <si>
    <t>Sensor monitoring data</t>
  </si>
  <si>
    <t>BIM-based SHM data organization and visualization</t>
  </si>
  <si>
    <t>Bridge SHM system case study</t>
  </si>
  <si>
    <t>Primarily visualization and data management; limited adaptive analytics</t>
  </si>
  <si>
    <t>Real bridge/operational evidence coded from the Bridge application using Sensor monitoring data; validation context: Bridge SHM system case study.</t>
  </si>
  <si>
    <t>Liu et al. 2023</t>
  </si>
  <si>
    <t>HierMUD: Hierarchical multi-task unsupervised domain adaptation between bridges for drive-by damage diagnosis.</t>
  </si>
  <si>
    <t>https://doi.org/10.1177/14759217221081159</t>
  </si>
  <si>
    <t>Two bridges / drive-by monitoring</t>
  </si>
  <si>
    <t>Vehicle acceleration response</t>
  </si>
  <si>
    <t>Hierarchical multi-task unsupervised domain adaptation (HierMUD)</t>
  </si>
  <si>
    <t>Experimental drive-by bridge datasets</t>
  </si>
  <si>
    <t>Drive-by and bridge-to-bridge assumptions; target labels unavailable</t>
  </si>
  <si>
    <t>Explicit transferability/domain-validity relevance is charted through the study's Hierarchical multi-task unsupervised domain adaptation (HierMUD) approach; the charted limitation is: Drive-by and bridge-to-bridge assumptions; target labels unavailable.</t>
  </si>
  <si>
    <t>Real bridge/operational evidence coded from the Two bridges / drive-by monitoring application using Vehicle acceleration response; validation context: Experimental drive-by bridge datasets.</t>
  </si>
  <si>
    <t>Luleci &amp; Catbas 2022</t>
  </si>
  <si>
    <t>Structural state translation: Condition transfer between civil structures using domain-generalization for structural health monitoring.</t>
  </si>
  <si>
    <t>https://doi.org/10.48550/arXiv.2212.14048</t>
  </si>
  <si>
    <t>TL / domain generalization</t>
  </si>
  <si>
    <t>Numerical bridge structures</t>
  </si>
  <si>
    <t>Acceleration response / modal identifiers</t>
  </si>
  <si>
    <t>Structural state translation using domain-generalized Cycle-GAN</t>
  </si>
  <si>
    <t>Numerical bridge-model case study</t>
  </si>
  <si>
    <t>Operation / structural-state transfer</t>
  </si>
  <si>
    <t>Preprint/numerical focus; field validation limited</t>
  </si>
  <si>
    <t>Explicit transferability/domain-validity relevance is charted through the study's Structural state translation using domain-generalized Cycle-GAN approach; the charted limitation is: Preprint/numerical focus; field validation limited.</t>
  </si>
  <si>
    <t>The study explicitly performs structural-state translation between different bridge conditions (e.g., healthy and damaged states), satisfying the structural-state-transfer criterion.</t>
  </si>
  <si>
    <t>No real operational bridge data coded; validation/application context: Numerical bridge-model case study (Numerical bridge structures).</t>
  </si>
  <si>
    <t>Soleimani-Babakamali et al. 2023</t>
  </si>
  <si>
    <t>Zero-shot transfer learning for structural health monitoring using generative adversarial networks and spectral mapping.</t>
  </si>
  <si>
    <t>https://doi.org/10.1016/j.ymssp.2023.110404</t>
  </si>
  <si>
    <t>Heterogeneous structures</t>
  </si>
  <si>
    <t>High-dimensional spectral features</t>
  </si>
  <si>
    <t>Zero-shot TL with GAN and spectral mapping</t>
  </si>
  <si>
    <t>Multi-dataset experimental validation</t>
  </si>
  <si>
    <t>Operation / damage detection</t>
  </si>
  <si>
    <t>General SHM; not bridge-specific</t>
  </si>
  <si>
    <t>Transferable structural/infrastructure methodological evidence. The Zero-shot TL with GAN and spectral mapping addresses a core SHM function (model updating, domain adaptation, damage diagnosis, uncertainty, or information integration) applicable to bridges; it is excluded from bridge-specific sensitivity counts unless a bridge application is explicit.</t>
  </si>
  <si>
    <t>Explicit transferability/domain-validity relevance is charted through the study's Zero-shot TL with GAN and spectral mapping approach; the charted limitation is: General SHM; not bridge-specific.</t>
  </si>
  <si>
    <t>No real operational bridge data coded; validation/application context: Multi-dataset experimental validation (Heterogeneous structures).</t>
  </si>
  <si>
    <t>Wickramarachchi et al. 2025</t>
  </si>
  <si>
    <t>Similarity assessment of structures for population-based structural health monitoring via graph kernels.</t>
  </si>
  <si>
    <t>https://doi.org/10.1177/14759217241265626</t>
  </si>
  <si>
    <t>PBSHM / similarity assessment</t>
  </si>
  <si>
    <t>Seven operational bridges</t>
  </si>
  <si>
    <t>Structural attributes / graph representation</t>
  </si>
  <si>
    <t>Graph-kernel similarity assessment for population-based SHM</t>
  </si>
  <si>
    <t>Population-level bridge similarity case study</t>
  </si>
  <si>
    <t>Pre-transfer similarity assessment</t>
  </si>
  <si>
    <t>Similarity metric only; not a full adaptive SHM deployment</t>
  </si>
  <si>
    <t>Explicit transferability/domain-validity relevance is charted through the study's Graph-kernel similarity assessment for population-based SHM approach; the charted limitation is: Similarity metric only; not a full adaptive SHM deployment.</t>
  </si>
  <si>
    <t>Real bridge/operational evidence coded from the Seven operational bridges application using Structural attributes / graph representation; validation context: Population-level bridge similarity case study.</t>
  </si>
  <si>
    <t>Xiao et al. 2022</t>
  </si>
  <si>
    <t>Multi‐Channel Domain Adaptation Deep Transfer Learning for Bridge Structure Damage Diagnosis.</t>
  </si>
  <si>
    <t>https://doi.org/10.1002/tee.23671</t>
  </si>
  <si>
    <t>Multi-channel vibration signals</t>
  </si>
  <si>
    <t>Multi-channel domain adaptation deep TL</t>
  </si>
  <si>
    <t>Bridge damage diagnosis case study</t>
  </si>
  <si>
    <t>Requires aligned multi-sensor data and source-target domain relation</t>
  </si>
  <si>
    <t>Explicit transferability/domain-validity relevance is charted through the study's Multi-channel domain adaptation deep TL approach; the charted limitation is: Requires aligned multi-sensor data and source-target domain relation.</t>
  </si>
  <si>
    <t>Real bridge/operational evidence coded from the Bridge application using Multi-channel vibration signals; validation context: Bridge damage diagnosis case study.</t>
  </si>
  <si>
    <t>Zhang J. et al. 2025</t>
  </si>
  <si>
    <t>Real-time Concrete Crack Segmentation for Bridge Structural Health Monitoring: A Lightweight YOLOv11-based Approach with Multi-scale Feature Fusion.</t>
  </si>
  <si>
    <t>https://doi.org/10.1016/j.rineng.2025.108004</t>
  </si>
  <si>
    <t>ML / vision-based SHM</t>
  </si>
  <si>
    <t>Concrete bridge surface / inspection images</t>
  </si>
  <si>
    <t>Concrete crack images / segmentation masks</t>
  </si>
  <si>
    <t>YOLOv11-based crack segmentation</t>
  </si>
  <si>
    <t>Image-dataset validation</t>
  </si>
  <si>
    <t>Inspection / damage localization</t>
  </si>
  <si>
    <t>Vision-only inspection; no physics-based structural diagnosis</t>
  </si>
  <si>
    <t>Real bridge/operational evidence coded from the Concrete bridge surface / inspection images application using Concrete crack images / segmentation masks; validation context: Image-dataset validation.</t>
  </si>
  <si>
    <t>Full evidence base</t>
  </si>
  <si>
    <t>77 included studies</t>
  </si>
  <si>
    <t>Column U provides the study-level evidence/rationale for the post-modification/retrofit/structural-state-transfer code. Every Yes classification is supported by an explicit source-specific rationale.</t>
  </si>
  <si>
    <t>Post-modification coding result</t>
  </si>
  <si>
    <t>Following source-by-source recoding using the stricter criterion, the post-modification/retrofit/structural-state-transfer total is 4.</t>
  </si>
  <si>
    <t>Evidence basis</t>
  </si>
  <si>
    <t>Bridge-specific evidence = explicit bridge/footbridge/bridge population/bridge monitoring dataset/bridge inspection application. Transferable non-bridge evidence = non-bridge or generic study retained only when its method directly supports a core bridge-SHM function; such records are excluded from bridge-specific sensitivity counts.</t>
  </si>
  <si>
    <t>Column Q documents why each transferable non-bridge record was retained and clarifies that it is not treated as direct bridge evidence.</t>
  </si>
  <si>
    <t>Bridge-specific study count</t>
  </si>
  <si>
    <t>Transferable non-bridge study count</t>
  </si>
  <si>
    <t>Bridge-specific domain-shift-related count</t>
  </si>
  <si>
    <t>Bridge-specific post-modification / retrofit / structural-state-transfer count</t>
  </si>
  <si>
    <t>Bridge-specific real operational bridge data count</t>
  </si>
  <si>
    <t>Bridge-specific complete DT–TL–BIM integration count</t>
  </si>
  <si>
    <t>Sensitivity-analysis note</t>
  </si>
  <si>
    <t>Corpus-level conclusions are reported for the full 77-study evidence base and repeated for the bridge-specific subset. Transferable non-bridge evidence is used for methodological synthesis only and is not presented as direct evidence of bridge implementation.</t>
  </si>
  <si>
    <t>Numbering audit</t>
  </si>
  <si>
    <t>The No. field is a continuous, unique sequence from 1 to 77 and is independent of author-year labels or category ordering.</t>
  </si>
  <si>
    <t>Bibliographic traceability</t>
  </si>
  <si>
    <t>Each included record includes its full study title and an active DOI URL or other stable publication identifier, verified against authoritative bibliographic records.</t>
  </si>
  <si>
    <t>Database / indexing coverage</t>
  </si>
  <si>
    <t>This field reports database/indexing coverage used for traceability rather than claiming the exact originating retrieval database for each deduplicated record. IEEE DOI records are identified as IEEE Xplore; journal coverage is reported conservatively at publication/series level.</t>
  </si>
  <si>
    <t>Each included study is classified as bridge-specific evidence or transferable non-bridge evidence, with an applicability rationale.</t>
  </si>
  <si>
    <t>Domain-shift coding traceability</t>
  </si>
  <si>
    <t>Column S provides study-level evidence/rationale supporting the domain-shift-related Yes/No code.</t>
  </si>
  <si>
    <t>Post-modification coding traceability</t>
  </si>
  <si>
    <t>Column U provides study-level evidence/rationale supporting post-modification/retrofit/structural-state-transfer coding.</t>
  </si>
  <si>
    <t>Operational bridge-data traceability</t>
  </si>
  <si>
    <t>Column W provides study-level evidence/rationale supporting the real operational bridge-data code.</t>
  </si>
  <si>
    <t>DT–TL–BIM integration traceability</t>
  </si>
  <si>
    <t>Column Y identifies the technology components present and explains the complete-integration Yes/No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</si>
</sst>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9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3"/>
  <sheetViews>
    <sheetView tabSelected="1" topLeftCell="A19" workbookViewId="0">
      <selection activeCell="E20" sqref="E20"/>
    </sheetView>
  </sheetViews>
  <sheetFormatPr defaultRowHeight="14.4" x14ac:dyDescent="0.3"/>
  <cols>
    <col min="1" max="1" width="6" customWidth="1"/>
    <col min="2" max="2" width="24" customWidth="1"/>
    <col min="3" max="3" width="46" customWidth="1"/>
    <col min="4" max="4" width="38" customWidth="1"/>
    <col min="5" max="5" width="36" customWidth="1"/>
    <col min="6" max="6" width="8" customWidth="1"/>
    <col min="7" max="7" width="22" customWidth="1"/>
    <col min="8" max="8" width="27" customWidth="1"/>
    <col min="9" max="9" width="24" customWidth="1"/>
    <col min="10" max="10" width="27" customWidth="1"/>
    <col min="11" max="11" width="31" customWidth="1"/>
    <col min="12" max="12" width="24" customWidth="1"/>
    <col min="13" max="13" width="28" customWidth="1"/>
    <col min="14" max="14" width="24" customWidth="1"/>
    <col min="15" max="15" width="35" customWidth="1"/>
    <col min="16" max="16" width="28" customWidth="1"/>
    <col min="17" max="17" width="50" customWidth="1"/>
    <col min="18" max="18" width="18" customWidth="1"/>
    <col min="19" max="19" width="52" customWidth="1"/>
    <col min="20" max="20" width="20" customWidth="1"/>
    <col min="21" max="21" width="52" customWidth="1"/>
    <col min="22" max="22" width="18" customWidth="1"/>
    <col min="23" max="23" width="48" customWidth="1"/>
    <col min="24" max="24" width="20" customWidth="1"/>
    <col min="25" max="25" width="52" customWidth="1"/>
  </cols>
  <sheetData>
    <row r="1" spans="1:25" ht="67.2" customHeight="1" x14ac:dyDescent="0.3">
      <c r="A1" s="7" t="s">
        <v>65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1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78</v>
      </c>
      <c r="P1" s="7" t="s">
        <v>79</v>
      </c>
      <c r="Q1" s="8" t="s">
        <v>80</v>
      </c>
      <c r="R1" s="8" t="s">
        <v>52</v>
      </c>
      <c r="S1" s="8" t="s">
        <v>81</v>
      </c>
      <c r="T1" s="8" t="s">
        <v>54</v>
      </c>
      <c r="U1" s="8" t="s">
        <v>82</v>
      </c>
      <c r="V1" s="8" t="s">
        <v>56</v>
      </c>
      <c r="W1" s="8" t="s">
        <v>83</v>
      </c>
      <c r="X1" s="8" t="s">
        <v>58</v>
      </c>
      <c r="Y1" s="8" t="s">
        <v>84</v>
      </c>
    </row>
    <row r="2" spans="1:25" ht="124.8" customHeight="1" x14ac:dyDescent="0.3">
      <c r="A2" s="10">
        <v>1</v>
      </c>
      <c r="B2" s="10" t="s">
        <v>85</v>
      </c>
      <c r="C2" s="10" t="s">
        <v>86</v>
      </c>
      <c r="D2" s="10" t="s">
        <v>87</v>
      </c>
      <c r="E2" s="10" t="s">
        <v>88</v>
      </c>
      <c r="F2" s="10">
        <v>2023</v>
      </c>
      <c r="G2" s="10" t="s">
        <v>89</v>
      </c>
      <c r="H2" s="10" t="s">
        <v>90</v>
      </c>
      <c r="I2" s="10" t="s">
        <v>91</v>
      </c>
      <c r="J2" s="10" t="s">
        <v>92</v>
      </c>
      <c r="K2" s="10" t="s">
        <v>93</v>
      </c>
      <c r="L2" s="10" t="s">
        <v>93</v>
      </c>
      <c r="M2" s="9" t="s">
        <v>94</v>
      </c>
      <c r="N2" s="9" t="s">
        <v>95</v>
      </c>
      <c r="O2" s="9" t="s">
        <v>96</v>
      </c>
      <c r="P2" s="9" t="s">
        <v>97</v>
      </c>
      <c r="Q2" s="9" t="s">
        <v>98</v>
      </c>
      <c r="R2" s="9" t="s">
        <v>99</v>
      </c>
      <c r="S2" s="9" t="s">
        <v>100</v>
      </c>
      <c r="T2" s="9" t="s">
        <v>101</v>
      </c>
      <c r="U2" s="9" t="s">
        <v>102</v>
      </c>
      <c r="V2" s="9" t="s">
        <v>101</v>
      </c>
      <c r="W2" s="9" t="s">
        <v>103</v>
      </c>
      <c r="X2" s="9" t="s">
        <v>101</v>
      </c>
      <c r="Y2" s="9" t="s">
        <v>104</v>
      </c>
    </row>
    <row r="3" spans="1:25" ht="120.6" customHeight="1" x14ac:dyDescent="0.3">
      <c r="A3" s="10">
        <v>2</v>
      </c>
      <c r="B3" s="10" t="s">
        <v>105</v>
      </c>
      <c r="C3" s="10" t="s">
        <v>106</v>
      </c>
      <c r="D3" s="10" t="s">
        <v>107</v>
      </c>
      <c r="E3" s="10" t="s">
        <v>108</v>
      </c>
      <c r="F3" s="10">
        <v>2024</v>
      </c>
      <c r="G3" s="10" t="s">
        <v>89</v>
      </c>
      <c r="H3" s="10" t="s">
        <v>109</v>
      </c>
      <c r="I3" s="10" t="s">
        <v>110</v>
      </c>
      <c r="J3" s="10" t="s">
        <v>111</v>
      </c>
      <c r="K3" s="10" t="s">
        <v>93</v>
      </c>
      <c r="L3" s="10" t="s">
        <v>112</v>
      </c>
      <c r="M3" s="9" t="s">
        <v>113</v>
      </c>
      <c r="N3" s="9" t="s">
        <v>95</v>
      </c>
      <c r="O3" s="9" t="s">
        <v>114</v>
      </c>
      <c r="P3" s="9" t="s">
        <v>115</v>
      </c>
      <c r="Q3" s="9" t="s">
        <v>116</v>
      </c>
      <c r="R3" s="9" t="s">
        <v>101</v>
      </c>
      <c r="S3" s="9" t="s">
        <v>117</v>
      </c>
      <c r="T3" s="9" t="s">
        <v>101</v>
      </c>
      <c r="U3" s="9" t="s">
        <v>118</v>
      </c>
      <c r="V3" s="9" t="s">
        <v>99</v>
      </c>
      <c r="W3" s="9" t="s">
        <v>119</v>
      </c>
      <c r="X3" s="9" t="s">
        <v>101</v>
      </c>
      <c r="Y3" s="9" t="s">
        <v>120</v>
      </c>
    </row>
    <row r="4" spans="1:25" ht="126" customHeight="1" x14ac:dyDescent="0.3">
      <c r="A4" s="10">
        <v>3</v>
      </c>
      <c r="B4" s="10" t="s">
        <v>121</v>
      </c>
      <c r="C4" s="10" t="s">
        <v>122</v>
      </c>
      <c r="D4" s="10" t="s">
        <v>123</v>
      </c>
      <c r="E4" s="10" t="s">
        <v>108</v>
      </c>
      <c r="F4" s="10">
        <v>2023</v>
      </c>
      <c r="G4" s="10" t="s">
        <v>124</v>
      </c>
      <c r="H4" s="10" t="s">
        <v>125</v>
      </c>
      <c r="I4" s="10" t="s">
        <v>126</v>
      </c>
      <c r="J4" s="10" t="s">
        <v>93</v>
      </c>
      <c r="K4" s="10" t="s">
        <v>127</v>
      </c>
      <c r="L4" s="10" t="s">
        <v>93</v>
      </c>
      <c r="M4" s="9" t="s">
        <v>128</v>
      </c>
      <c r="N4" s="9" t="s">
        <v>95</v>
      </c>
      <c r="O4" s="9" t="s">
        <v>129</v>
      </c>
      <c r="P4" s="9" t="s">
        <v>97</v>
      </c>
      <c r="Q4" s="9" t="s">
        <v>130</v>
      </c>
      <c r="R4" s="9" t="s">
        <v>99</v>
      </c>
      <c r="S4" s="9" t="s">
        <v>131</v>
      </c>
      <c r="T4" s="9" t="s">
        <v>101</v>
      </c>
      <c r="U4" s="9" t="s">
        <v>118</v>
      </c>
      <c r="V4" s="9" t="s">
        <v>101</v>
      </c>
      <c r="W4" s="9" t="s">
        <v>132</v>
      </c>
      <c r="X4" s="9" t="s">
        <v>101</v>
      </c>
      <c r="Y4" s="9" t="s">
        <v>133</v>
      </c>
    </row>
    <row r="5" spans="1:25" ht="91.2" customHeight="1" x14ac:dyDescent="0.3">
      <c r="A5" s="10">
        <v>4</v>
      </c>
      <c r="B5" s="10" t="s">
        <v>134</v>
      </c>
      <c r="C5" s="10" t="s">
        <v>135</v>
      </c>
      <c r="D5" s="10" t="s">
        <v>136</v>
      </c>
      <c r="E5" s="10" t="s">
        <v>108</v>
      </c>
      <c r="F5" s="10">
        <v>2023</v>
      </c>
      <c r="G5" s="10" t="s">
        <v>124</v>
      </c>
      <c r="H5" s="10" t="s">
        <v>137</v>
      </c>
      <c r="I5" s="10" t="s">
        <v>138</v>
      </c>
      <c r="J5" s="10" t="s">
        <v>93</v>
      </c>
      <c r="K5" s="10" t="s">
        <v>139</v>
      </c>
      <c r="L5" s="10" t="s">
        <v>93</v>
      </c>
      <c r="M5" s="9" t="s">
        <v>140</v>
      </c>
      <c r="N5" s="9" t="s">
        <v>95</v>
      </c>
      <c r="O5" s="9" t="s">
        <v>141</v>
      </c>
      <c r="P5" s="9" t="s">
        <v>97</v>
      </c>
      <c r="Q5" s="9" t="s">
        <v>142</v>
      </c>
      <c r="R5" s="9" t="s">
        <v>99</v>
      </c>
      <c r="S5" s="9" t="s">
        <v>143</v>
      </c>
      <c r="T5" s="9" t="s">
        <v>101</v>
      </c>
      <c r="U5" s="9" t="s">
        <v>118</v>
      </c>
      <c r="V5" s="9" t="s">
        <v>101</v>
      </c>
      <c r="W5" s="9" t="s">
        <v>144</v>
      </c>
      <c r="X5" s="9" t="s">
        <v>101</v>
      </c>
      <c r="Y5" s="9" t="s">
        <v>133</v>
      </c>
    </row>
    <row r="6" spans="1:25" ht="86.4" customHeight="1" x14ac:dyDescent="0.3">
      <c r="A6" s="10">
        <v>5</v>
      </c>
      <c r="B6" s="10" t="s">
        <v>145</v>
      </c>
      <c r="C6" s="10" t="s">
        <v>146</v>
      </c>
      <c r="D6" s="10" t="s">
        <v>147</v>
      </c>
      <c r="E6" s="10" t="s">
        <v>108</v>
      </c>
      <c r="F6" s="10">
        <v>2022</v>
      </c>
      <c r="G6" s="10" t="s">
        <v>148</v>
      </c>
      <c r="H6" s="10" t="s">
        <v>149</v>
      </c>
      <c r="I6" s="10" t="s">
        <v>150</v>
      </c>
      <c r="J6" s="10" t="s">
        <v>93</v>
      </c>
      <c r="K6" s="10" t="s">
        <v>93</v>
      </c>
      <c r="L6" s="10" t="s">
        <v>151</v>
      </c>
      <c r="M6" s="9" t="s">
        <v>113</v>
      </c>
      <c r="N6" s="9" t="s">
        <v>95</v>
      </c>
      <c r="O6" s="9" t="s">
        <v>152</v>
      </c>
      <c r="P6" s="9" t="s">
        <v>115</v>
      </c>
      <c r="Q6" s="9" t="s">
        <v>116</v>
      </c>
      <c r="R6" s="9" t="s">
        <v>101</v>
      </c>
      <c r="S6" s="9" t="s">
        <v>117</v>
      </c>
      <c r="T6" s="9" t="s">
        <v>101</v>
      </c>
      <c r="U6" s="9" t="s">
        <v>118</v>
      </c>
      <c r="V6" s="9" t="s">
        <v>99</v>
      </c>
      <c r="W6" s="9" t="s">
        <v>153</v>
      </c>
      <c r="X6" s="9" t="s">
        <v>101</v>
      </c>
      <c r="Y6" s="9" t="s">
        <v>154</v>
      </c>
    </row>
    <row r="7" spans="1:25" ht="100.2" customHeight="1" x14ac:dyDescent="0.3">
      <c r="A7" s="10">
        <v>6</v>
      </c>
      <c r="B7" s="10" t="s">
        <v>155</v>
      </c>
      <c r="C7" s="10" t="s">
        <v>156</v>
      </c>
      <c r="D7" s="10" t="s">
        <v>157</v>
      </c>
      <c r="E7" s="10" t="s">
        <v>108</v>
      </c>
      <c r="F7" s="10">
        <v>2023</v>
      </c>
      <c r="G7" s="10" t="s">
        <v>158</v>
      </c>
      <c r="H7" s="10" t="s">
        <v>149</v>
      </c>
      <c r="I7" s="10" t="s">
        <v>159</v>
      </c>
      <c r="J7" s="10" t="s">
        <v>160</v>
      </c>
      <c r="K7" s="10" t="s">
        <v>93</v>
      </c>
      <c r="L7" s="10" t="s">
        <v>161</v>
      </c>
      <c r="M7" s="9" t="s">
        <v>162</v>
      </c>
      <c r="N7" s="9" t="s">
        <v>95</v>
      </c>
      <c r="O7" s="9" t="s">
        <v>163</v>
      </c>
      <c r="P7" s="9" t="s">
        <v>115</v>
      </c>
      <c r="Q7" s="9" t="s">
        <v>116</v>
      </c>
      <c r="R7" s="9" t="s">
        <v>101</v>
      </c>
      <c r="S7" s="9" t="s">
        <v>117</v>
      </c>
      <c r="T7" s="9" t="s">
        <v>101</v>
      </c>
      <c r="U7" s="9" t="s">
        <v>118</v>
      </c>
      <c r="V7" s="9" t="s">
        <v>99</v>
      </c>
      <c r="W7" s="9" t="s">
        <v>164</v>
      </c>
      <c r="X7" s="9" t="s">
        <v>101</v>
      </c>
      <c r="Y7" s="9" t="s">
        <v>120</v>
      </c>
    </row>
    <row r="8" spans="1:25" ht="83.4" customHeight="1" x14ac:dyDescent="0.3">
      <c r="A8" s="10">
        <v>7</v>
      </c>
      <c r="B8" s="10" t="s">
        <v>165</v>
      </c>
      <c r="C8" s="10" t="s">
        <v>166</v>
      </c>
      <c r="D8" s="10" t="s">
        <v>167</v>
      </c>
      <c r="E8" s="10" t="s">
        <v>168</v>
      </c>
      <c r="F8" s="10">
        <v>2022</v>
      </c>
      <c r="G8" s="10" t="s">
        <v>89</v>
      </c>
      <c r="H8" s="10" t="s">
        <v>169</v>
      </c>
      <c r="I8" s="10" t="s">
        <v>170</v>
      </c>
      <c r="J8" s="10" t="s">
        <v>171</v>
      </c>
      <c r="K8" s="10" t="s">
        <v>93</v>
      </c>
      <c r="L8" s="10" t="s">
        <v>93</v>
      </c>
      <c r="M8" s="9" t="s">
        <v>172</v>
      </c>
      <c r="N8" s="9" t="s">
        <v>95</v>
      </c>
      <c r="O8" s="9" t="s">
        <v>173</v>
      </c>
      <c r="P8" s="9" t="s">
        <v>115</v>
      </c>
      <c r="Q8" s="9" t="s">
        <v>116</v>
      </c>
      <c r="R8" s="9" t="s">
        <v>99</v>
      </c>
      <c r="S8" s="9" t="s">
        <v>174</v>
      </c>
      <c r="T8" s="9" t="s">
        <v>101</v>
      </c>
      <c r="U8" s="9" t="s">
        <v>175</v>
      </c>
      <c r="V8" s="9" t="s">
        <v>99</v>
      </c>
      <c r="W8" s="9" t="s">
        <v>176</v>
      </c>
      <c r="X8" s="9" t="s">
        <v>101</v>
      </c>
      <c r="Y8" s="9" t="s">
        <v>104</v>
      </c>
    </row>
    <row r="9" spans="1:25" ht="116.4" customHeight="1" x14ac:dyDescent="0.3">
      <c r="A9" s="10">
        <v>8</v>
      </c>
      <c r="B9" s="10" t="s">
        <v>177</v>
      </c>
      <c r="C9" s="10" t="s">
        <v>178</v>
      </c>
      <c r="D9" s="10" t="s">
        <v>179</v>
      </c>
      <c r="E9" s="10" t="s">
        <v>108</v>
      </c>
      <c r="F9" s="10">
        <v>2025</v>
      </c>
      <c r="G9" s="10" t="s">
        <v>148</v>
      </c>
      <c r="H9" s="10" t="s">
        <v>180</v>
      </c>
      <c r="I9" s="10" t="s">
        <v>181</v>
      </c>
      <c r="J9" s="10" t="s">
        <v>93</v>
      </c>
      <c r="K9" s="10" t="s">
        <v>93</v>
      </c>
      <c r="L9" s="10" t="s">
        <v>182</v>
      </c>
      <c r="M9" s="9" t="s">
        <v>162</v>
      </c>
      <c r="N9" s="9" t="s">
        <v>95</v>
      </c>
      <c r="O9" s="9" t="s">
        <v>183</v>
      </c>
      <c r="P9" s="9" t="s">
        <v>97</v>
      </c>
      <c r="Q9" s="9" t="s">
        <v>184</v>
      </c>
      <c r="R9" s="9" t="s">
        <v>101</v>
      </c>
      <c r="S9" s="9" t="s">
        <v>117</v>
      </c>
      <c r="T9" s="9" t="s">
        <v>101</v>
      </c>
      <c r="U9" s="9" t="s">
        <v>118</v>
      </c>
      <c r="V9" s="9" t="s">
        <v>101</v>
      </c>
      <c r="W9" s="9" t="s">
        <v>185</v>
      </c>
      <c r="X9" s="9" t="s">
        <v>101</v>
      </c>
      <c r="Y9" s="9" t="s">
        <v>154</v>
      </c>
    </row>
    <row r="10" spans="1:25" ht="85.2" customHeight="1" x14ac:dyDescent="0.3">
      <c r="A10" s="10">
        <v>9</v>
      </c>
      <c r="B10" s="10" t="s">
        <v>186</v>
      </c>
      <c r="C10" s="10" t="s">
        <v>187</v>
      </c>
      <c r="D10" s="10" t="s">
        <v>188</v>
      </c>
      <c r="E10" s="10" t="s">
        <v>108</v>
      </c>
      <c r="F10" s="10">
        <v>2024</v>
      </c>
      <c r="G10" s="10" t="s">
        <v>189</v>
      </c>
      <c r="H10" s="10" t="s">
        <v>190</v>
      </c>
      <c r="I10" s="10" t="s">
        <v>191</v>
      </c>
      <c r="J10" s="10" t="s">
        <v>192</v>
      </c>
      <c r="K10" s="10" t="s">
        <v>93</v>
      </c>
      <c r="L10" s="10" t="s">
        <v>112</v>
      </c>
      <c r="M10" s="9" t="s">
        <v>113</v>
      </c>
      <c r="N10" s="9" t="s">
        <v>193</v>
      </c>
      <c r="O10" s="9" t="s">
        <v>194</v>
      </c>
      <c r="P10" s="9" t="s">
        <v>115</v>
      </c>
      <c r="Q10" s="9" t="s">
        <v>116</v>
      </c>
      <c r="R10" s="9" t="s">
        <v>99</v>
      </c>
      <c r="S10" s="9" t="s">
        <v>195</v>
      </c>
      <c r="T10" s="9" t="s">
        <v>101</v>
      </c>
      <c r="U10" s="9" t="s">
        <v>118</v>
      </c>
      <c r="V10" s="9" t="s">
        <v>99</v>
      </c>
      <c r="W10" s="9" t="s">
        <v>196</v>
      </c>
      <c r="X10" s="9" t="s">
        <v>101</v>
      </c>
      <c r="Y10" s="9" t="s">
        <v>120</v>
      </c>
    </row>
    <row r="11" spans="1:25" ht="86.4" customHeight="1" x14ac:dyDescent="0.3">
      <c r="A11" s="10">
        <v>10</v>
      </c>
      <c r="B11" s="10" t="s">
        <v>197</v>
      </c>
      <c r="C11" s="10" t="s">
        <v>198</v>
      </c>
      <c r="D11" s="10" t="s">
        <v>199</v>
      </c>
      <c r="E11" s="10" t="s">
        <v>108</v>
      </c>
      <c r="F11" s="10">
        <v>2022</v>
      </c>
      <c r="G11" s="10" t="s">
        <v>89</v>
      </c>
      <c r="H11" s="10" t="s">
        <v>200</v>
      </c>
      <c r="I11" s="10" t="s">
        <v>201</v>
      </c>
      <c r="J11" s="10" t="s">
        <v>202</v>
      </c>
      <c r="K11" s="10" t="s">
        <v>93</v>
      </c>
      <c r="L11" s="10" t="s">
        <v>93</v>
      </c>
      <c r="M11" s="9" t="s">
        <v>203</v>
      </c>
      <c r="N11" s="9" t="s">
        <v>95</v>
      </c>
      <c r="O11" s="9" t="s">
        <v>204</v>
      </c>
      <c r="P11" s="9" t="s">
        <v>115</v>
      </c>
      <c r="Q11" s="9" t="s">
        <v>116</v>
      </c>
      <c r="R11" s="9" t="s">
        <v>99</v>
      </c>
      <c r="S11" s="9" t="s">
        <v>205</v>
      </c>
      <c r="T11" s="9" t="s">
        <v>101</v>
      </c>
      <c r="U11" s="9" t="s">
        <v>118</v>
      </c>
      <c r="V11" s="9" t="s">
        <v>99</v>
      </c>
      <c r="W11" s="9" t="s">
        <v>206</v>
      </c>
      <c r="X11" s="9" t="s">
        <v>101</v>
      </c>
      <c r="Y11" s="9" t="s">
        <v>104</v>
      </c>
    </row>
    <row r="12" spans="1:25" ht="91.2" customHeight="1" x14ac:dyDescent="0.3">
      <c r="A12" s="10">
        <v>11</v>
      </c>
      <c r="B12" s="10" t="s">
        <v>207</v>
      </c>
      <c r="C12" s="10" t="s">
        <v>208</v>
      </c>
      <c r="D12" s="10" t="s">
        <v>209</v>
      </c>
      <c r="E12" s="10" t="s">
        <v>108</v>
      </c>
      <c r="F12" s="10">
        <v>2025</v>
      </c>
      <c r="G12" s="10" t="s">
        <v>124</v>
      </c>
      <c r="H12" s="10" t="s">
        <v>210</v>
      </c>
      <c r="I12" s="10" t="s">
        <v>126</v>
      </c>
      <c r="J12" s="10" t="s">
        <v>93</v>
      </c>
      <c r="K12" s="10" t="s">
        <v>211</v>
      </c>
      <c r="L12" s="10" t="s">
        <v>93</v>
      </c>
      <c r="M12" s="9" t="s">
        <v>212</v>
      </c>
      <c r="N12" s="9" t="s">
        <v>95</v>
      </c>
      <c r="O12" s="9" t="s">
        <v>213</v>
      </c>
      <c r="P12" s="9" t="s">
        <v>115</v>
      </c>
      <c r="Q12" s="9" t="s">
        <v>116</v>
      </c>
      <c r="R12" s="9" t="s">
        <v>99</v>
      </c>
      <c r="S12" s="9" t="s">
        <v>214</v>
      </c>
      <c r="T12" s="9" t="s">
        <v>101</v>
      </c>
      <c r="U12" s="9" t="s">
        <v>118</v>
      </c>
      <c r="V12" s="9" t="s">
        <v>101</v>
      </c>
      <c r="W12" s="9" t="s">
        <v>215</v>
      </c>
      <c r="X12" s="9" t="s">
        <v>101</v>
      </c>
      <c r="Y12" s="9" t="s">
        <v>133</v>
      </c>
    </row>
    <row r="13" spans="1:25" ht="99" customHeight="1" x14ac:dyDescent="0.3">
      <c r="A13" s="10">
        <v>12</v>
      </c>
      <c r="B13" s="10" t="s">
        <v>216</v>
      </c>
      <c r="C13" s="10" t="s">
        <v>217</v>
      </c>
      <c r="D13" s="10" t="s">
        <v>218</v>
      </c>
      <c r="E13" s="10" t="s">
        <v>108</v>
      </c>
      <c r="F13" s="10">
        <v>2024</v>
      </c>
      <c r="G13" s="10" t="s">
        <v>148</v>
      </c>
      <c r="H13" s="10" t="s">
        <v>219</v>
      </c>
      <c r="I13" s="10" t="s">
        <v>150</v>
      </c>
      <c r="J13" s="10" t="s">
        <v>93</v>
      </c>
      <c r="K13" s="10" t="s">
        <v>93</v>
      </c>
      <c r="L13" s="10" t="s">
        <v>220</v>
      </c>
      <c r="M13" s="9" t="s">
        <v>221</v>
      </c>
      <c r="N13" s="9" t="s">
        <v>222</v>
      </c>
      <c r="O13" s="9" t="s">
        <v>223</v>
      </c>
      <c r="P13" s="9" t="s">
        <v>115</v>
      </c>
      <c r="Q13" s="9" t="s">
        <v>224</v>
      </c>
      <c r="R13" s="9" t="s">
        <v>101</v>
      </c>
      <c r="S13" s="9" t="s">
        <v>117</v>
      </c>
      <c r="T13" s="9" t="s">
        <v>101</v>
      </c>
      <c r="U13" s="9" t="s">
        <v>118</v>
      </c>
      <c r="V13" s="9" t="s">
        <v>101</v>
      </c>
      <c r="W13" s="9" t="s">
        <v>225</v>
      </c>
      <c r="X13" s="9" t="s">
        <v>101</v>
      </c>
      <c r="Y13" s="9" t="s">
        <v>154</v>
      </c>
    </row>
    <row r="14" spans="1:25" ht="99" customHeight="1" x14ac:dyDescent="0.3">
      <c r="A14" s="10">
        <v>13</v>
      </c>
      <c r="B14" s="10" t="s">
        <v>226</v>
      </c>
      <c r="C14" s="10" t="s">
        <v>227</v>
      </c>
      <c r="D14" s="10" t="s">
        <v>228</v>
      </c>
      <c r="E14" s="10" t="s">
        <v>229</v>
      </c>
      <c r="F14" s="10">
        <v>2024</v>
      </c>
      <c r="G14" s="10" t="s">
        <v>230</v>
      </c>
      <c r="H14" s="10" t="s">
        <v>231</v>
      </c>
      <c r="I14" s="10" t="s">
        <v>232</v>
      </c>
      <c r="J14" s="10" t="s">
        <v>233</v>
      </c>
      <c r="K14" s="10" t="s">
        <v>93</v>
      </c>
      <c r="L14" s="10" t="s">
        <v>93</v>
      </c>
      <c r="M14" s="9" t="s">
        <v>234</v>
      </c>
      <c r="N14" s="9" t="s">
        <v>95</v>
      </c>
      <c r="O14" s="9" t="s">
        <v>235</v>
      </c>
      <c r="P14" s="9" t="s">
        <v>97</v>
      </c>
      <c r="Q14" s="9" t="s">
        <v>236</v>
      </c>
      <c r="R14" s="9" t="s">
        <v>101</v>
      </c>
      <c r="S14" s="9" t="s">
        <v>117</v>
      </c>
      <c r="T14" s="9" t="s">
        <v>101</v>
      </c>
      <c r="U14" s="9" t="s">
        <v>118</v>
      </c>
      <c r="V14" s="9" t="s">
        <v>101</v>
      </c>
      <c r="W14" s="9" t="s">
        <v>237</v>
      </c>
      <c r="X14" s="9" t="s">
        <v>101</v>
      </c>
      <c r="Y14" s="9" t="s">
        <v>104</v>
      </c>
    </row>
    <row r="15" spans="1:25" ht="127.8" customHeight="1" x14ac:dyDescent="0.3">
      <c r="A15" s="10">
        <v>14</v>
      </c>
      <c r="B15" s="10" t="s">
        <v>238</v>
      </c>
      <c r="C15" s="10" t="s">
        <v>239</v>
      </c>
      <c r="D15" s="10" t="s">
        <v>240</v>
      </c>
      <c r="E15" s="10" t="s">
        <v>108</v>
      </c>
      <c r="F15" s="10">
        <v>2026</v>
      </c>
      <c r="G15" s="10" t="s">
        <v>124</v>
      </c>
      <c r="H15" s="10" t="s">
        <v>241</v>
      </c>
      <c r="I15" s="10" t="s">
        <v>242</v>
      </c>
      <c r="J15" s="10" t="s">
        <v>93</v>
      </c>
      <c r="K15" s="10" t="s">
        <v>243</v>
      </c>
      <c r="L15" s="10" t="s">
        <v>93</v>
      </c>
      <c r="M15" s="9" t="s">
        <v>140</v>
      </c>
      <c r="N15" s="9" t="s">
        <v>95</v>
      </c>
      <c r="O15" s="9" t="s">
        <v>244</v>
      </c>
      <c r="P15" s="9" t="s">
        <v>97</v>
      </c>
      <c r="Q15" s="9" t="s">
        <v>245</v>
      </c>
      <c r="R15" s="9" t="s">
        <v>99</v>
      </c>
      <c r="S15" s="9" t="s">
        <v>246</v>
      </c>
      <c r="T15" s="9" t="s">
        <v>101</v>
      </c>
      <c r="U15" s="9" t="s">
        <v>118</v>
      </c>
      <c r="V15" s="9" t="s">
        <v>101</v>
      </c>
      <c r="W15" s="9" t="s">
        <v>247</v>
      </c>
      <c r="X15" s="9" t="s">
        <v>101</v>
      </c>
      <c r="Y15" s="9" t="s">
        <v>133</v>
      </c>
    </row>
    <row r="16" spans="1:25" ht="106.2" customHeight="1" x14ac:dyDescent="0.3">
      <c r="A16" s="10">
        <v>15</v>
      </c>
      <c r="B16" s="10" t="s">
        <v>248</v>
      </c>
      <c r="C16" s="10" t="s">
        <v>249</v>
      </c>
      <c r="D16" s="10" t="s">
        <v>250</v>
      </c>
      <c r="E16" s="10" t="s">
        <v>108</v>
      </c>
      <c r="F16" s="10">
        <v>2023</v>
      </c>
      <c r="G16" s="10" t="s">
        <v>251</v>
      </c>
      <c r="H16" s="10" t="s">
        <v>252</v>
      </c>
      <c r="I16" s="10" t="s">
        <v>138</v>
      </c>
      <c r="J16" s="10" t="s">
        <v>253</v>
      </c>
      <c r="K16" s="10" t="s">
        <v>254</v>
      </c>
      <c r="L16" s="10" t="s">
        <v>93</v>
      </c>
      <c r="M16" s="9" t="s">
        <v>255</v>
      </c>
      <c r="N16" s="9" t="s">
        <v>95</v>
      </c>
      <c r="O16" s="9" t="s">
        <v>256</v>
      </c>
      <c r="P16" s="9" t="s">
        <v>115</v>
      </c>
      <c r="Q16" s="9" t="s">
        <v>116</v>
      </c>
      <c r="R16" s="9" t="s">
        <v>101</v>
      </c>
      <c r="S16" s="9" t="s">
        <v>117</v>
      </c>
      <c r="T16" s="9" t="s">
        <v>101</v>
      </c>
      <c r="U16" s="9" t="s">
        <v>118</v>
      </c>
      <c r="V16" s="9" t="s">
        <v>101</v>
      </c>
      <c r="W16" s="9" t="s">
        <v>257</v>
      </c>
      <c r="X16" s="9" t="s">
        <v>101</v>
      </c>
      <c r="Y16" s="9" t="s">
        <v>258</v>
      </c>
    </row>
    <row r="17" spans="1:25" ht="136.19999999999999" customHeight="1" x14ac:dyDescent="0.3">
      <c r="A17" s="10">
        <v>16</v>
      </c>
      <c r="B17" s="10" t="s">
        <v>259</v>
      </c>
      <c r="C17" s="10" t="s">
        <v>260</v>
      </c>
      <c r="D17" s="10" t="s">
        <v>261</v>
      </c>
      <c r="E17" s="10" t="s">
        <v>108</v>
      </c>
      <c r="F17" s="10">
        <v>2024</v>
      </c>
      <c r="G17" s="10" t="s">
        <v>262</v>
      </c>
      <c r="H17" s="10" t="s">
        <v>263</v>
      </c>
      <c r="I17" s="10" t="s">
        <v>264</v>
      </c>
      <c r="J17" s="10" t="s">
        <v>265</v>
      </c>
      <c r="K17" s="10" t="s">
        <v>93</v>
      </c>
      <c r="L17" s="10" t="s">
        <v>266</v>
      </c>
      <c r="M17" s="9" t="s">
        <v>162</v>
      </c>
      <c r="N17" s="9" t="s">
        <v>95</v>
      </c>
      <c r="O17" s="9" t="s">
        <v>267</v>
      </c>
      <c r="P17" s="9" t="s">
        <v>97</v>
      </c>
      <c r="Q17" s="9" t="s">
        <v>268</v>
      </c>
      <c r="R17" s="9" t="s">
        <v>101</v>
      </c>
      <c r="S17" s="9" t="s">
        <v>117</v>
      </c>
      <c r="T17" s="9" t="s">
        <v>101</v>
      </c>
      <c r="U17" s="9" t="s">
        <v>118</v>
      </c>
      <c r="V17" s="9" t="s">
        <v>101</v>
      </c>
      <c r="W17" s="9" t="s">
        <v>269</v>
      </c>
      <c r="X17" s="9" t="s">
        <v>101</v>
      </c>
      <c r="Y17" s="9" t="s">
        <v>120</v>
      </c>
    </row>
    <row r="18" spans="1:25" ht="130.80000000000001" customHeight="1" x14ac:dyDescent="0.3">
      <c r="A18" s="10">
        <v>17</v>
      </c>
      <c r="B18" s="10" t="s">
        <v>270</v>
      </c>
      <c r="C18" s="10" t="s">
        <v>271</v>
      </c>
      <c r="D18" s="10" t="s">
        <v>272</v>
      </c>
      <c r="E18" s="10" t="s">
        <v>108</v>
      </c>
      <c r="F18" s="10">
        <v>2024</v>
      </c>
      <c r="G18" s="10" t="s">
        <v>124</v>
      </c>
      <c r="H18" s="10" t="s">
        <v>273</v>
      </c>
      <c r="I18" s="10" t="s">
        <v>274</v>
      </c>
      <c r="J18" s="10" t="s">
        <v>93</v>
      </c>
      <c r="K18" s="10" t="s">
        <v>275</v>
      </c>
      <c r="L18" s="10" t="s">
        <v>93</v>
      </c>
      <c r="M18" s="9" t="s">
        <v>276</v>
      </c>
      <c r="N18" s="9" t="s">
        <v>95</v>
      </c>
      <c r="O18" s="9" t="s">
        <v>277</v>
      </c>
      <c r="P18" s="9" t="s">
        <v>97</v>
      </c>
      <c r="Q18" s="9" t="s">
        <v>278</v>
      </c>
      <c r="R18" s="9" t="s">
        <v>99</v>
      </c>
      <c r="S18" s="9" t="s">
        <v>279</v>
      </c>
      <c r="T18" s="9" t="s">
        <v>101</v>
      </c>
      <c r="U18" s="9" t="s">
        <v>118</v>
      </c>
      <c r="V18" s="9" t="s">
        <v>101</v>
      </c>
      <c r="W18" s="9" t="s">
        <v>280</v>
      </c>
      <c r="X18" s="9" t="s">
        <v>101</v>
      </c>
      <c r="Y18" s="9" t="s">
        <v>133</v>
      </c>
    </row>
    <row r="19" spans="1:25" ht="117" customHeight="1" x14ac:dyDescent="0.3">
      <c r="A19" s="10">
        <v>18</v>
      </c>
      <c r="B19" s="10" t="s">
        <v>281</v>
      </c>
      <c r="C19" s="10" t="s">
        <v>282</v>
      </c>
      <c r="D19" s="10" t="s">
        <v>283</v>
      </c>
      <c r="E19" s="10" t="s">
        <v>108</v>
      </c>
      <c r="F19" s="10">
        <v>2024</v>
      </c>
      <c r="G19" s="10" t="s">
        <v>284</v>
      </c>
      <c r="H19" s="10" t="s">
        <v>285</v>
      </c>
      <c r="I19" s="10" t="s">
        <v>286</v>
      </c>
      <c r="J19" s="10" t="s">
        <v>287</v>
      </c>
      <c r="K19" s="10" t="s">
        <v>288</v>
      </c>
      <c r="L19" s="10" t="s">
        <v>93</v>
      </c>
      <c r="M19" s="9" t="s">
        <v>289</v>
      </c>
      <c r="N19" s="9" t="s">
        <v>290</v>
      </c>
      <c r="O19" s="9" t="s">
        <v>291</v>
      </c>
      <c r="P19" s="9" t="s">
        <v>115</v>
      </c>
      <c r="Q19" s="9" t="s">
        <v>116</v>
      </c>
      <c r="R19" s="9" t="s">
        <v>99</v>
      </c>
      <c r="S19" s="9" t="s">
        <v>292</v>
      </c>
      <c r="T19" s="9" t="s">
        <v>101</v>
      </c>
      <c r="U19" s="9" t="s">
        <v>118</v>
      </c>
      <c r="V19" s="9" t="s">
        <v>101</v>
      </c>
      <c r="W19" s="9" t="s">
        <v>293</v>
      </c>
      <c r="X19" s="9" t="s">
        <v>101</v>
      </c>
      <c r="Y19" s="9" t="s">
        <v>258</v>
      </c>
    </row>
    <row r="20" spans="1:25" ht="129" customHeight="1" x14ac:dyDescent="0.3">
      <c r="A20" s="10">
        <v>19</v>
      </c>
      <c r="B20" s="10" t="s">
        <v>294</v>
      </c>
      <c r="C20" s="10" t="s">
        <v>295</v>
      </c>
      <c r="D20" s="10" t="s">
        <v>296</v>
      </c>
      <c r="E20" s="10" t="s">
        <v>108</v>
      </c>
      <c r="F20" s="10">
        <v>2024</v>
      </c>
      <c r="G20" s="10" t="s">
        <v>148</v>
      </c>
      <c r="H20" s="10" t="s">
        <v>297</v>
      </c>
      <c r="I20" s="10" t="s">
        <v>298</v>
      </c>
      <c r="J20" s="10" t="s">
        <v>93</v>
      </c>
      <c r="K20" s="10" t="s">
        <v>93</v>
      </c>
      <c r="L20" s="10" t="s">
        <v>299</v>
      </c>
      <c r="M20" s="9" t="s">
        <v>300</v>
      </c>
      <c r="N20" s="9" t="s">
        <v>301</v>
      </c>
      <c r="O20" s="9" t="s">
        <v>302</v>
      </c>
      <c r="P20" s="9" t="s">
        <v>97</v>
      </c>
      <c r="Q20" s="9" t="s">
        <v>303</v>
      </c>
      <c r="R20" s="9" t="s">
        <v>101</v>
      </c>
      <c r="S20" s="9" t="s">
        <v>117</v>
      </c>
      <c r="T20" s="9" t="s">
        <v>101</v>
      </c>
      <c r="U20" s="9" t="s">
        <v>118</v>
      </c>
      <c r="V20" s="9" t="s">
        <v>101</v>
      </c>
      <c r="W20" s="9" t="s">
        <v>304</v>
      </c>
      <c r="X20" s="9" t="s">
        <v>101</v>
      </c>
      <c r="Y20" s="9" t="s">
        <v>154</v>
      </c>
    </row>
    <row r="21" spans="1:25" ht="111" customHeight="1" x14ac:dyDescent="0.3">
      <c r="A21" s="10">
        <v>20</v>
      </c>
      <c r="B21" s="10" t="s">
        <v>305</v>
      </c>
      <c r="C21" s="10" t="s">
        <v>306</v>
      </c>
      <c r="D21" s="10" t="s">
        <v>307</v>
      </c>
      <c r="E21" s="10" t="s">
        <v>108</v>
      </c>
      <c r="F21" s="10">
        <v>2025</v>
      </c>
      <c r="G21" s="10" t="s">
        <v>89</v>
      </c>
      <c r="H21" s="10" t="s">
        <v>149</v>
      </c>
      <c r="I21" s="10" t="s">
        <v>308</v>
      </c>
      <c r="J21" s="10" t="s">
        <v>309</v>
      </c>
      <c r="K21" s="10" t="s">
        <v>93</v>
      </c>
      <c r="L21" s="10" t="s">
        <v>93</v>
      </c>
      <c r="M21" s="9" t="s">
        <v>255</v>
      </c>
      <c r="N21" s="9" t="s">
        <v>95</v>
      </c>
      <c r="O21" s="9" t="s">
        <v>310</v>
      </c>
      <c r="P21" s="9" t="s">
        <v>115</v>
      </c>
      <c r="Q21" s="9" t="s">
        <v>116</v>
      </c>
      <c r="R21" s="9" t="s">
        <v>101</v>
      </c>
      <c r="S21" s="9" t="s">
        <v>117</v>
      </c>
      <c r="T21" s="9" t="s">
        <v>101</v>
      </c>
      <c r="U21" s="9" t="s">
        <v>118</v>
      </c>
      <c r="V21" s="9" t="s">
        <v>101</v>
      </c>
      <c r="W21" s="9" t="s">
        <v>311</v>
      </c>
      <c r="X21" s="9" t="s">
        <v>101</v>
      </c>
      <c r="Y21" s="9" t="s">
        <v>104</v>
      </c>
    </row>
    <row r="22" spans="1:25" ht="111" customHeight="1" x14ac:dyDescent="0.3">
      <c r="A22" s="10">
        <v>21</v>
      </c>
      <c r="B22" s="10" t="s">
        <v>312</v>
      </c>
      <c r="C22" s="10" t="s">
        <v>313</v>
      </c>
      <c r="D22" s="10" t="s">
        <v>314</v>
      </c>
      <c r="E22" s="10" t="s">
        <v>108</v>
      </c>
      <c r="F22" s="10">
        <v>2025</v>
      </c>
      <c r="G22" s="10" t="s">
        <v>89</v>
      </c>
      <c r="H22" s="10" t="s">
        <v>315</v>
      </c>
      <c r="I22" s="10" t="s">
        <v>316</v>
      </c>
      <c r="J22" s="10" t="s">
        <v>317</v>
      </c>
      <c r="K22" s="10" t="s">
        <v>93</v>
      </c>
      <c r="L22" s="10" t="s">
        <v>93</v>
      </c>
      <c r="M22" s="9" t="s">
        <v>318</v>
      </c>
      <c r="N22" s="9" t="s">
        <v>95</v>
      </c>
      <c r="O22" s="9" t="s">
        <v>319</v>
      </c>
      <c r="P22" s="9" t="s">
        <v>115</v>
      </c>
      <c r="Q22" s="9" t="s">
        <v>116</v>
      </c>
      <c r="R22" s="9" t="s">
        <v>101</v>
      </c>
      <c r="S22" s="9" t="s">
        <v>117</v>
      </c>
      <c r="T22" s="9" t="s">
        <v>101</v>
      </c>
      <c r="U22" s="9" t="s">
        <v>118</v>
      </c>
      <c r="V22" s="9" t="s">
        <v>99</v>
      </c>
      <c r="W22" s="9" t="s">
        <v>320</v>
      </c>
      <c r="X22" s="9" t="s">
        <v>101</v>
      </c>
      <c r="Y22" s="9" t="s">
        <v>104</v>
      </c>
    </row>
    <row r="23" spans="1:25" ht="105.6" customHeight="1" x14ac:dyDescent="0.3">
      <c r="A23" s="10">
        <v>22</v>
      </c>
      <c r="B23" s="10" t="s">
        <v>321</v>
      </c>
      <c r="C23" s="10" t="s">
        <v>322</v>
      </c>
      <c r="D23" s="10" t="s">
        <v>323</v>
      </c>
      <c r="E23" s="10" t="s">
        <v>108</v>
      </c>
      <c r="F23" s="10">
        <v>2024</v>
      </c>
      <c r="G23" s="10" t="s">
        <v>324</v>
      </c>
      <c r="H23" s="10" t="s">
        <v>325</v>
      </c>
      <c r="I23" s="10" t="s">
        <v>326</v>
      </c>
      <c r="J23" s="10" t="s">
        <v>327</v>
      </c>
      <c r="K23" s="10" t="s">
        <v>93</v>
      </c>
      <c r="L23" s="10" t="s">
        <v>93</v>
      </c>
      <c r="M23" s="9" t="s">
        <v>318</v>
      </c>
      <c r="N23" s="9" t="s">
        <v>328</v>
      </c>
      <c r="O23" s="9" t="s">
        <v>329</v>
      </c>
      <c r="P23" s="9" t="s">
        <v>97</v>
      </c>
      <c r="Q23" s="9" t="s">
        <v>330</v>
      </c>
      <c r="R23" s="9" t="s">
        <v>101</v>
      </c>
      <c r="S23" s="9" t="s">
        <v>117</v>
      </c>
      <c r="T23" s="9" t="s">
        <v>99</v>
      </c>
      <c r="U23" s="9" t="s">
        <v>331</v>
      </c>
      <c r="V23" s="9" t="s">
        <v>101</v>
      </c>
      <c r="W23" s="9" t="s">
        <v>332</v>
      </c>
      <c r="X23" s="9" t="s">
        <v>101</v>
      </c>
      <c r="Y23" s="9" t="s">
        <v>104</v>
      </c>
    </row>
    <row r="24" spans="1:25" ht="117.6" customHeight="1" x14ac:dyDescent="0.3">
      <c r="A24" s="10">
        <v>23</v>
      </c>
      <c r="B24" s="10" t="s">
        <v>333</v>
      </c>
      <c r="C24" s="10" t="s">
        <v>334</v>
      </c>
      <c r="D24" s="10" t="s">
        <v>335</v>
      </c>
      <c r="E24" s="10" t="s">
        <v>108</v>
      </c>
      <c r="F24" s="10">
        <v>2023</v>
      </c>
      <c r="G24" s="10" t="s">
        <v>336</v>
      </c>
      <c r="H24" s="10" t="s">
        <v>337</v>
      </c>
      <c r="I24" s="10" t="s">
        <v>338</v>
      </c>
      <c r="J24" s="10" t="s">
        <v>339</v>
      </c>
      <c r="K24" s="10" t="s">
        <v>93</v>
      </c>
      <c r="L24" s="10" t="s">
        <v>93</v>
      </c>
      <c r="M24" s="9" t="s">
        <v>340</v>
      </c>
      <c r="N24" s="9" t="s">
        <v>95</v>
      </c>
      <c r="O24" s="9" t="s">
        <v>341</v>
      </c>
      <c r="P24" s="9" t="s">
        <v>115</v>
      </c>
      <c r="Q24" s="9" t="s">
        <v>116</v>
      </c>
      <c r="R24" s="9" t="s">
        <v>101</v>
      </c>
      <c r="S24" s="9" t="s">
        <v>117</v>
      </c>
      <c r="T24" s="9" t="s">
        <v>101</v>
      </c>
      <c r="U24" s="9" t="s">
        <v>118</v>
      </c>
      <c r="V24" s="9" t="s">
        <v>99</v>
      </c>
      <c r="W24" s="9" t="s">
        <v>342</v>
      </c>
      <c r="X24" s="9" t="s">
        <v>101</v>
      </c>
      <c r="Y24" s="9" t="s">
        <v>104</v>
      </c>
    </row>
    <row r="25" spans="1:25" ht="134.4" customHeight="1" x14ac:dyDescent="0.3">
      <c r="A25" s="10">
        <v>24</v>
      </c>
      <c r="B25" s="10" t="s">
        <v>343</v>
      </c>
      <c r="C25" s="10" t="s">
        <v>344</v>
      </c>
      <c r="D25" s="10" t="s">
        <v>345</v>
      </c>
      <c r="E25" s="10" t="s">
        <v>108</v>
      </c>
      <c r="F25" s="10">
        <v>2023</v>
      </c>
      <c r="G25" s="10" t="s">
        <v>251</v>
      </c>
      <c r="H25" s="10" t="s">
        <v>346</v>
      </c>
      <c r="I25" s="10" t="s">
        <v>347</v>
      </c>
      <c r="J25" s="10" t="s">
        <v>348</v>
      </c>
      <c r="K25" s="10" t="s">
        <v>349</v>
      </c>
      <c r="L25" s="10" t="s">
        <v>93</v>
      </c>
      <c r="M25" s="9" t="s">
        <v>140</v>
      </c>
      <c r="N25" s="9" t="s">
        <v>95</v>
      </c>
      <c r="O25" s="9" t="s">
        <v>350</v>
      </c>
      <c r="P25" s="9" t="s">
        <v>97</v>
      </c>
      <c r="Q25" s="9" t="s">
        <v>351</v>
      </c>
      <c r="R25" s="9" t="s">
        <v>101</v>
      </c>
      <c r="S25" s="9" t="s">
        <v>117</v>
      </c>
      <c r="T25" s="9" t="s">
        <v>101</v>
      </c>
      <c r="U25" s="9" t="s">
        <v>118</v>
      </c>
      <c r="V25" s="9" t="s">
        <v>101</v>
      </c>
      <c r="W25" s="9" t="s">
        <v>352</v>
      </c>
      <c r="X25" s="9" t="s">
        <v>101</v>
      </c>
      <c r="Y25" s="9" t="s">
        <v>258</v>
      </c>
    </row>
    <row r="26" spans="1:25" ht="124.2" customHeight="1" x14ac:dyDescent="0.3">
      <c r="A26" s="10">
        <v>25</v>
      </c>
      <c r="B26" s="10" t="s">
        <v>353</v>
      </c>
      <c r="C26" s="10" t="s">
        <v>354</v>
      </c>
      <c r="D26" s="10" t="s">
        <v>355</v>
      </c>
      <c r="E26" s="10" t="s">
        <v>108</v>
      </c>
      <c r="F26" s="10">
        <v>2025</v>
      </c>
      <c r="G26" s="10" t="s">
        <v>356</v>
      </c>
      <c r="H26" s="10" t="s">
        <v>357</v>
      </c>
      <c r="I26" s="10" t="s">
        <v>358</v>
      </c>
      <c r="J26" s="10" t="s">
        <v>359</v>
      </c>
      <c r="K26" s="10" t="s">
        <v>360</v>
      </c>
      <c r="L26" s="10" t="s">
        <v>93</v>
      </c>
      <c r="M26" s="9" t="s">
        <v>361</v>
      </c>
      <c r="N26" s="9" t="s">
        <v>95</v>
      </c>
      <c r="O26" s="9" t="s">
        <v>362</v>
      </c>
      <c r="P26" s="9" t="s">
        <v>97</v>
      </c>
      <c r="Q26" s="9" t="s">
        <v>363</v>
      </c>
      <c r="R26" s="9" t="s">
        <v>99</v>
      </c>
      <c r="S26" s="9" t="s">
        <v>364</v>
      </c>
      <c r="T26" s="9" t="s">
        <v>101</v>
      </c>
      <c r="U26" s="9" t="s">
        <v>118</v>
      </c>
      <c r="V26" s="9" t="s">
        <v>101</v>
      </c>
      <c r="W26" s="9" t="s">
        <v>365</v>
      </c>
      <c r="X26" s="9" t="s">
        <v>101</v>
      </c>
      <c r="Y26" s="9" t="s">
        <v>258</v>
      </c>
    </row>
    <row r="27" spans="1:25" ht="101.4" customHeight="1" x14ac:dyDescent="0.3">
      <c r="A27" s="10">
        <v>26</v>
      </c>
      <c r="B27" s="10" t="s">
        <v>366</v>
      </c>
      <c r="C27" s="10" t="s">
        <v>367</v>
      </c>
      <c r="D27" s="10" t="s">
        <v>368</v>
      </c>
      <c r="E27" s="10" t="s">
        <v>108</v>
      </c>
      <c r="F27" s="10">
        <v>2023</v>
      </c>
      <c r="G27" s="10" t="s">
        <v>148</v>
      </c>
      <c r="H27" s="10" t="s">
        <v>149</v>
      </c>
      <c r="I27" s="10" t="s">
        <v>369</v>
      </c>
      <c r="J27" s="10" t="s">
        <v>93</v>
      </c>
      <c r="K27" s="10" t="s">
        <v>93</v>
      </c>
      <c r="L27" s="10" t="s">
        <v>370</v>
      </c>
      <c r="M27" s="9" t="s">
        <v>371</v>
      </c>
      <c r="N27" s="9" t="s">
        <v>372</v>
      </c>
      <c r="O27" s="9" t="s">
        <v>373</v>
      </c>
      <c r="P27" s="9" t="s">
        <v>115</v>
      </c>
      <c r="Q27" s="9" t="s">
        <v>116</v>
      </c>
      <c r="R27" s="9" t="s">
        <v>101</v>
      </c>
      <c r="S27" s="9" t="s">
        <v>117</v>
      </c>
      <c r="T27" s="9" t="s">
        <v>101</v>
      </c>
      <c r="U27" s="9" t="s">
        <v>118</v>
      </c>
      <c r="V27" s="9" t="s">
        <v>99</v>
      </c>
      <c r="W27" s="9" t="s">
        <v>374</v>
      </c>
      <c r="X27" s="9" t="s">
        <v>101</v>
      </c>
      <c r="Y27" s="9" t="s">
        <v>154</v>
      </c>
    </row>
    <row r="28" spans="1:25" ht="102.6" customHeight="1" x14ac:dyDescent="0.3">
      <c r="A28" s="10">
        <v>27</v>
      </c>
      <c r="B28" s="10" t="s">
        <v>375</v>
      </c>
      <c r="C28" s="10" t="s">
        <v>376</v>
      </c>
      <c r="D28" s="10" t="s">
        <v>377</v>
      </c>
      <c r="E28" s="10" t="s">
        <v>108</v>
      </c>
      <c r="F28" s="10">
        <v>2024</v>
      </c>
      <c r="G28" s="10" t="s">
        <v>251</v>
      </c>
      <c r="H28" s="10" t="s">
        <v>378</v>
      </c>
      <c r="I28" s="10" t="s">
        <v>379</v>
      </c>
      <c r="J28" s="10" t="s">
        <v>380</v>
      </c>
      <c r="K28" s="10" t="s">
        <v>381</v>
      </c>
      <c r="L28" s="10" t="s">
        <v>93</v>
      </c>
      <c r="M28" s="9" t="s">
        <v>382</v>
      </c>
      <c r="N28" s="9" t="s">
        <v>95</v>
      </c>
      <c r="O28" s="9" t="s">
        <v>383</v>
      </c>
      <c r="P28" s="9" t="s">
        <v>115</v>
      </c>
      <c r="Q28" s="9" t="s">
        <v>384</v>
      </c>
      <c r="R28" s="9" t="s">
        <v>99</v>
      </c>
      <c r="S28" s="9" t="s">
        <v>385</v>
      </c>
      <c r="T28" s="9" t="s">
        <v>101</v>
      </c>
      <c r="U28" s="9" t="s">
        <v>118</v>
      </c>
      <c r="V28" s="9" t="s">
        <v>99</v>
      </c>
      <c r="W28" s="9" t="s">
        <v>386</v>
      </c>
      <c r="X28" s="9" t="s">
        <v>101</v>
      </c>
      <c r="Y28" s="9" t="s">
        <v>258</v>
      </c>
    </row>
    <row r="29" spans="1:25" ht="127.2" customHeight="1" x14ac:dyDescent="0.3">
      <c r="A29" s="10">
        <v>28</v>
      </c>
      <c r="B29" s="10" t="s">
        <v>387</v>
      </c>
      <c r="C29" s="10" t="s">
        <v>388</v>
      </c>
      <c r="D29" s="10" t="s">
        <v>389</v>
      </c>
      <c r="E29" s="10" t="s">
        <v>108</v>
      </c>
      <c r="F29" s="10">
        <v>2025</v>
      </c>
      <c r="G29" s="10" t="s">
        <v>251</v>
      </c>
      <c r="H29" s="10" t="s">
        <v>390</v>
      </c>
      <c r="I29" s="10" t="s">
        <v>391</v>
      </c>
      <c r="J29" s="10" t="s">
        <v>392</v>
      </c>
      <c r="K29" s="10" t="s">
        <v>393</v>
      </c>
      <c r="L29" s="10" t="s">
        <v>93</v>
      </c>
      <c r="M29" s="9" t="s">
        <v>255</v>
      </c>
      <c r="N29" s="9" t="s">
        <v>95</v>
      </c>
      <c r="O29" s="9" t="s">
        <v>394</v>
      </c>
      <c r="P29" s="9" t="s">
        <v>97</v>
      </c>
      <c r="Q29" s="9" t="s">
        <v>395</v>
      </c>
      <c r="R29" s="9" t="s">
        <v>99</v>
      </c>
      <c r="S29" s="9" t="s">
        <v>396</v>
      </c>
      <c r="T29" s="9" t="s">
        <v>101</v>
      </c>
      <c r="U29" s="9" t="s">
        <v>118</v>
      </c>
      <c r="V29" s="9" t="s">
        <v>101</v>
      </c>
      <c r="W29" s="9" t="s">
        <v>397</v>
      </c>
      <c r="X29" s="9" t="s">
        <v>101</v>
      </c>
      <c r="Y29" s="9" t="s">
        <v>258</v>
      </c>
    </row>
    <row r="30" spans="1:25" ht="120" customHeight="1" x14ac:dyDescent="0.3">
      <c r="A30" s="10">
        <v>29</v>
      </c>
      <c r="B30" s="10" t="s">
        <v>398</v>
      </c>
      <c r="C30" s="10" t="s">
        <v>399</v>
      </c>
      <c r="D30" s="10" t="s">
        <v>400</v>
      </c>
      <c r="E30" s="10" t="s">
        <v>108</v>
      </c>
      <c r="F30" s="10">
        <v>2025</v>
      </c>
      <c r="G30" s="10" t="s">
        <v>401</v>
      </c>
      <c r="H30" s="10" t="s">
        <v>402</v>
      </c>
      <c r="I30" s="10" t="s">
        <v>403</v>
      </c>
      <c r="J30" s="10" t="s">
        <v>404</v>
      </c>
      <c r="K30" s="10" t="s">
        <v>405</v>
      </c>
      <c r="L30" s="10" t="s">
        <v>406</v>
      </c>
      <c r="M30" s="9" t="s">
        <v>407</v>
      </c>
      <c r="N30" s="9" t="s">
        <v>95</v>
      </c>
      <c r="O30" s="9" t="s">
        <v>408</v>
      </c>
      <c r="P30" s="9" t="s">
        <v>97</v>
      </c>
      <c r="Q30" s="9" t="s">
        <v>409</v>
      </c>
      <c r="R30" s="9" t="s">
        <v>101</v>
      </c>
      <c r="S30" s="9" t="s">
        <v>117</v>
      </c>
      <c r="T30" s="9" t="s">
        <v>101</v>
      </c>
      <c r="U30" s="9" t="s">
        <v>118</v>
      </c>
      <c r="V30" s="9" t="s">
        <v>101</v>
      </c>
      <c r="W30" s="9" t="s">
        <v>410</v>
      </c>
      <c r="X30" s="9" t="s">
        <v>101</v>
      </c>
      <c r="Y30" s="9" t="s">
        <v>411</v>
      </c>
    </row>
    <row r="31" spans="1:25" ht="127.8" customHeight="1" x14ac:dyDescent="0.3">
      <c r="A31" s="10">
        <v>30</v>
      </c>
      <c r="B31" s="10" t="s">
        <v>412</v>
      </c>
      <c r="C31" s="10" t="s">
        <v>413</v>
      </c>
      <c r="D31" s="10" t="s">
        <v>414</v>
      </c>
      <c r="E31" s="10" t="s">
        <v>108</v>
      </c>
      <c r="F31" s="10">
        <v>2025</v>
      </c>
      <c r="G31" s="10" t="s">
        <v>89</v>
      </c>
      <c r="H31" s="10" t="s">
        <v>415</v>
      </c>
      <c r="I31" s="10" t="s">
        <v>150</v>
      </c>
      <c r="J31" s="10" t="s">
        <v>416</v>
      </c>
      <c r="K31" s="10" t="s">
        <v>93</v>
      </c>
      <c r="L31" s="10" t="s">
        <v>417</v>
      </c>
      <c r="M31" s="9" t="s">
        <v>418</v>
      </c>
      <c r="N31" s="9" t="s">
        <v>95</v>
      </c>
      <c r="O31" s="9" t="s">
        <v>419</v>
      </c>
      <c r="P31" s="9" t="s">
        <v>115</v>
      </c>
      <c r="Q31" s="9" t="s">
        <v>420</v>
      </c>
      <c r="R31" s="9" t="s">
        <v>101</v>
      </c>
      <c r="S31" s="9" t="s">
        <v>117</v>
      </c>
      <c r="T31" s="9" t="s">
        <v>101</v>
      </c>
      <c r="U31" s="9" t="s">
        <v>118</v>
      </c>
      <c r="V31" s="9" t="s">
        <v>101</v>
      </c>
      <c r="W31" s="9" t="s">
        <v>421</v>
      </c>
      <c r="X31" s="9" t="s">
        <v>101</v>
      </c>
      <c r="Y31" s="9" t="s">
        <v>120</v>
      </c>
    </row>
    <row r="32" spans="1:25" ht="109.2" customHeight="1" x14ac:dyDescent="0.3">
      <c r="A32" s="10">
        <v>31</v>
      </c>
      <c r="B32" s="10" t="s">
        <v>422</v>
      </c>
      <c r="C32" s="10" t="s">
        <v>423</v>
      </c>
      <c r="D32" s="10" t="s">
        <v>424</v>
      </c>
      <c r="E32" s="10" t="s">
        <v>108</v>
      </c>
      <c r="F32" s="10">
        <v>2021</v>
      </c>
      <c r="G32" s="10" t="s">
        <v>251</v>
      </c>
      <c r="H32" s="10" t="s">
        <v>425</v>
      </c>
      <c r="I32" s="10" t="s">
        <v>126</v>
      </c>
      <c r="J32" s="10" t="s">
        <v>426</v>
      </c>
      <c r="K32" s="10" t="s">
        <v>427</v>
      </c>
      <c r="L32" s="10" t="s">
        <v>93</v>
      </c>
      <c r="M32" s="9" t="s">
        <v>428</v>
      </c>
      <c r="N32" s="9" t="s">
        <v>95</v>
      </c>
      <c r="O32" s="9" t="s">
        <v>429</v>
      </c>
      <c r="P32" s="9" t="s">
        <v>97</v>
      </c>
      <c r="Q32" s="9" t="s">
        <v>430</v>
      </c>
      <c r="R32" s="9" t="s">
        <v>99</v>
      </c>
      <c r="S32" s="9" t="s">
        <v>431</v>
      </c>
      <c r="T32" s="9" t="s">
        <v>101</v>
      </c>
      <c r="U32" s="9" t="s">
        <v>118</v>
      </c>
      <c r="V32" s="9" t="s">
        <v>101</v>
      </c>
      <c r="W32" s="9" t="s">
        <v>432</v>
      </c>
      <c r="X32" s="9" t="s">
        <v>101</v>
      </c>
      <c r="Y32" s="9" t="s">
        <v>258</v>
      </c>
    </row>
    <row r="33" spans="1:25" ht="132.6" customHeight="1" x14ac:dyDescent="0.3">
      <c r="A33" s="10">
        <v>32</v>
      </c>
      <c r="B33" s="10" t="s">
        <v>433</v>
      </c>
      <c r="C33" s="10" t="s">
        <v>434</v>
      </c>
      <c r="D33" s="10" t="s">
        <v>435</v>
      </c>
      <c r="E33" s="10" t="s">
        <v>108</v>
      </c>
      <c r="F33" s="10">
        <v>2025</v>
      </c>
      <c r="G33" s="10" t="s">
        <v>89</v>
      </c>
      <c r="H33" s="10" t="s">
        <v>149</v>
      </c>
      <c r="I33" s="10" t="s">
        <v>436</v>
      </c>
      <c r="J33" s="10" t="s">
        <v>437</v>
      </c>
      <c r="K33" s="10" t="s">
        <v>93</v>
      </c>
      <c r="L33" s="10" t="s">
        <v>93</v>
      </c>
      <c r="M33" s="9" t="s">
        <v>438</v>
      </c>
      <c r="N33" s="9" t="s">
        <v>95</v>
      </c>
      <c r="O33" s="9" t="s">
        <v>439</v>
      </c>
      <c r="P33" s="9" t="s">
        <v>115</v>
      </c>
      <c r="Q33" s="9" t="s">
        <v>116</v>
      </c>
      <c r="R33" s="9" t="s">
        <v>101</v>
      </c>
      <c r="S33" s="9" t="s">
        <v>117</v>
      </c>
      <c r="T33" s="9" t="s">
        <v>101</v>
      </c>
      <c r="U33" s="9" t="s">
        <v>118</v>
      </c>
      <c r="V33" s="9" t="s">
        <v>99</v>
      </c>
      <c r="W33" s="9" t="s">
        <v>440</v>
      </c>
      <c r="X33" s="9" t="s">
        <v>101</v>
      </c>
      <c r="Y33" s="9" t="s">
        <v>104</v>
      </c>
    </row>
    <row r="34" spans="1:25" ht="109.8" customHeight="1" x14ac:dyDescent="0.3">
      <c r="A34" s="10">
        <v>33</v>
      </c>
      <c r="B34" s="10" t="s">
        <v>441</v>
      </c>
      <c r="C34" s="10" t="s">
        <v>442</v>
      </c>
      <c r="D34" s="10" t="s">
        <v>443</v>
      </c>
      <c r="E34" s="10" t="s">
        <v>108</v>
      </c>
      <c r="F34" s="10">
        <v>2023</v>
      </c>
      <c r="G34" s="10" t="s">
        <v>124</v>
      </c>
      <c r="H34" s="10" t="s">
        <v>444</v>
      </c>
      <c r="I34" s="10" t="s">
        <v>126</v>
      </c>
      <c r="J34" s="10" t="s">
        <v>93</v>
      </c>
      <c r="K34" s="10" t="s">
        <v>445</v>
      </c>
      <c r="L34" s="10" t="s">
        <v>93</v>
      </c>
      <c r="M34" s="9" t="s">
        <v>140</v>
      </c>
      <c r="N34" s="9" t="s">
        <v>446</v>
      </c>
      <c r="O34" s="9" t="s">
        <v>447</v>
      </c>
      <c r="P34" s="9" t="s">
        <v>115</v>
      </c>
      <c r="Q34" s="9" t="s">
        <v>116</v>
      </c>
      <c r="R34" s="9" t="s">
        <v>99</v>
      </c>
      <c r="S34" s="9" t="s">
        <v>448</v>
      </c>
      <c r="T34" s="9" t="s">
        <v>99</v>
      </c>
      <c r="U34" s="9" t="s">
        <v>449</v>
      </c>
      <c r="V34" s="9" t="s">
        <v>99</v>
      </c>
      <c r="W34" s="9" t="s">
        <v>450</v>
      </c>
      <c r="X34" s="9" t="s">
        <v>101</v>
      </c>
      <c r="Y34" s="9" t="s">
        <v>133</v>
      </c>
    </row>
    <row r="35" spans="1:25" ht="132" customHeight="1" x14ac:dyDescent="0.3">
      <c r="A35" s="10">
        <v>34</v>
      </c>
      <c r="B35" s="10" t="s">
        <v>451</v>
      </c>
      <c r="C35" s="10" t="s">
        <v>452</v>
      </c>
      <c r="D35" s="10" t="s">
        <v>453</v>
      </c>
      <c r="E35" s="10" t="s">
        <v>108</v>
      </c>
      <c r="F35" s="10">
        <v>2021</v>
      </c>
      <c r="G35" s="10" t="s">
        <v>124</v>
      </c>
      <c r="H35" s="10" t="s">
        <v>454</v>
      </c>
      <c r="I35" s="10" t="s">
        <v>455</v>
      </c>
      <c r="J35" s="10" t="s">
        <v>93</v>
      </c>
      <c r="K35" s="10" t="s">
        <v>456</v>
      </c>
      <c r="L35" s="10" t="s">
        <v>93</v>
      </c>
      <c r="M35" s="9" t="s">
        <v>255</v>
      </c>
      <c r="N35" s="9" t="s">
        <v>95</v>
      </c>
      <c r="O35" s="9" t="s">
        <v>457</v>
      </c>
      <c r="P35" s="9" t="s">
        <v>97</v>
      </c>
      <c r="Q35" s="9" t="s">
        <v>458</v>
      </c>
      <c r="R35" s="9" t="s">
        <v>99</v>
      </c>
      <c r="S35" s="9" t="s">
        <v>459</v>
      </c>
      <c r="T35" s="9" t="s">
        <v>101</v>
      </c>
      <c r="U35" s="9" t="s">
        <v>118</v>
      </c>
      <c r="V35" s="9" t="s">
        <v>101</v>
      </c>
      <c r="W35" s="9" t="s">
        <v>460</v>
      </c>
      <c r="X35" s="9" t="s">
        <v>101</v>
      </c>
      <c r="Y35" s="9" t="s">
        <v>133</v>
      </c>
    </row>
    <row r="36" spans="1:25" ht="120" customHeight="1" x14ac:dyDescent="0.3">
      <c r="A36" s="10">
        <v>35</v>
      </c>
      <c r="B36" s="10" t="s">
        <v>461</v>
      </c>
      <c r="C36" s="10" t="s">
        <v>462</v>
      </c>
      <c r="D36" s="10" t="s">
        <v>463</v>
      </c>
      <c r="E36" s="10" t="s">
        <v>108</v>
      </c>
      <c r="F36" s="10">
        <v>2023</v>
      </c>
      <c r="G36" s="10" t="s">
        <v>124</v>
      </c>
      <c r="H36" s="10" t="s">
        <v>464</v>
      </c>
      <c r="I36" s="10" t="s">
        <v>465</v>
      </c>
      <c r="J36" s="10" t="s">
        <v>93</v>
      </c>
      <c r="K36" s="10" t="s">
        <v>466</v>
      </c>
      <c r="L36" s="10" t="s">
        <v>93</v>
      </c>
      <c r="M36" s="9" t="s">
        <v>467</v>
      </c>
      <c r="N36" s="9" t="s">
        <v>95</v>
      </c>
      <c r="O36" s="9" t="s">
        <v>468</v>
      </c>
      <c r="P36" s="9" t="s">
        <v>115</v>
      </c>
      <c r="Q36" s="9" t="s">
        <v>469</v>
      </c>
      <c r="R36" s="9" t="s">
        <v>99</v>
      </c>
      <c r="S36" s="9" t="s">
        <v>470</v>
      </c>
      <c r="T36" s="9" t="s">
        <v>101</v>
      </c>
      <c r="U36" s="9" t="s">
        <v>118</v>
      </c>
      <c r="V36" s="9" t="s">
        <v>99</v>
      </c>
      <c r="W36" s="9" t="s">
        <v>471</v>
      </c>
      <c r="X36" s="9" t="s">
        <v>101</v>
      </c>
      <c r="Y36" s="9" t="s">
        <v>133</v>
      </c>
    </row>
    <row r="37" spans="1:25" ht="123.6" customHeight="1" x14ac:dyDescent="0.3">
      <c r="A37" s="10">
        <v>36</v>
      </c>
      <c r="B37" s="10" t="s">
        <v>472</v>
      </c>
      <c r="C37" s="10" t="s">
        <v>473</v>
      </c>
      <c r="D37" s="10" t="s">
        <v>474</v>
      </c>
      <c r="E37" s="10" t="s">
        <v>108</v>
      </c>
      <c r="F37" s="10">
        <v>2024</v>
      </c>
      <c r="G37" s="10" t="s">
        <v>251</v>
      </c>
      <c r="H37" s="10" t="s">
        <v>475</v>
      </c>
      <c r="I37" s="10" t="s">
        <v>476</v>
      </c>
      <c r="J37" s="10" t="s">
        <v>477</v>
      </c>
      <c r="K37" s="10" t="s">
        <v>478</v>
      </c>
      <c r="L37" s="10" t="s">
        <v>93</v>
      </c>
      <c r="M37" s="9" t="s">
        <v>140</v>
      </c>
      <c r="N37" s="9" t="s">
        <v>479</v>
      </c>
      <c r="O37" s="9" t="s">
        <v>480</v>
      </c>
      <c r="P37" s="9" t="s">
        <v>97</v>
      </c>
      <c r="Q37" s="9" t="s">
        <v>481</v>
      </c>
      <c r="R37" s="9" t="s">
        <v>99</v>
      </c>
      <c r="S37" s="9" t="s">
        <v>482</v>
      </c>
      <c r="T37" s="9" t="s">
        <v>101</v>
      </c>
      <c r="U37" s="9" t="s">
        <v>483</v>
      </c>
      <c r="V37" s="9" t="s">
        <v>101</v>
      </c>
      <c r="W37" s="9" t="s">
        <v>484</v>
      </c>
      <c r="X37" s="9" t="s">
        <v>101</v>
      </c>
      <c r="Y37" s="9" t="s">
        <v>258</v>
      </c>
    </row>
    <row r="38" spans="1:25" ht="92.4" customHeight="1" x14ac:dyDescent="0.3">
      <c r="A38" s="10">
        <v>37</v>
      </c>
      <c r="B38" s="10" t="s">
        <v>485</v>
      </c>
      <c r="C38" s="10" t="s">
        <v>486</v>
      </c>
      <c r="D38" s="10" t="s">
        <v>487</v>
      </c>
      <c r="E38" s="10" t="s">
        <v>108</v>
      </c>
      <c r="F38" s="10">
        <v>2023</v>
      </c>
      <c r="G38" s="10" t="s">
        <v>124</v>
      </c>
      <c r="H38" s="10" t="s">
        <v>488</v>
      </c>
      <c r="I38" s="10" t="s">
        <v>489</v>
      </c>
      <c r="J38" s="10" t="s">
        <v>93</v>
      </c>
      <c r="K38" s="10" t="s">
        <v>490</v>
      </c>
      <c r="L38" s="10" t="s">
        <v>93</v>
      </c>
      <c r="M38" s="9" t="s">
        <v>491</v>
      </c>
      <c r="N38" s="9" t="s">
        <v>95</v>
      </c>
      <c r="O38" s="9" t="s">
        <v>492</v>
      </c>
      <c r="P38" s="9" t="s">
        <v>115</v>
      </c>
      <c r="Q38" s="9" t="s">
        <v>116</v>
      </c>
      <c r="R38" s="9" t="s">
        <v>99</v>
      </c>
      <c r="S38" s="9" t="s">
        <v>493</v>
      </c>
      <c r="T38" s="9" t="s">
        <v>101</v>
      </c>
      <c r="U38" s="9" t="s">
        <v>118</v>
      </c>
      <c r="V38" s="9" t="s">
        <v>101</v>
      </c>
      <c r="W38" s="9" t="s">
        <v>494</v>
      </c>
      <c r="X38" s="9" t="s">
        <v>101</v>
      </c>
      <c r="Y38" s="9" t="s">
        <v>133</v>
      </c>
    </row>
    <row r="39" spans="1:25" ht="85.2" customHeight="1" x14ac:dyDescent="0.3">
      <c r="A39" s="10">
        <v>38</v>
      </c>
      <c r="B39" s="10" t="s">
        <v>495</v>
      </c>
      <c r="C39" s="10" t="s">
        <v>496</v>
      </c>
      <c r="D39" s="10" t="s">
        <v>497</v>
      </c>
      <c r="E39" s="10" t="s">
        <v>108</v>
      </c>
      <c r="F39" s="10">
        <v>2025</v>
      </c>
      <c r="G39" s="10" t="s">
        <v>124</v>
      </c>
      <c r="H39" s="10" t="s">
        <v>498</v>
      </c>
      <c r="I39" s="10" t="s">
        <v>489</v>
      </c>
      <c r="J39" s="10" t="s">
        <v>499</v>
      </c>
      <c r="K39" s="10" t="s">
        <v>500</v>
      </c>
      <c r="L39" s="10" t="s">
        <v>93</v>
      </c>
      <c r="M39" s="9" t="s">
        <v>140</v>
      </c>
      <c r="N39" s="9" t="s">
        <v>95</v>
      </c>
      <c r="O39" s="9" t="s">
        <v>501</v>
      </c>
      <c r="P39" s="9" t="s">
        <v>115</v>
      </c>
      <c r="Q39" s="9" t="s">
        <v>116</v>
      </c>
      <c r="R39" s="9" t="s">
        <v>99</v>
      </c>
      <c r="S39" s="9" t="s">
        <v>502</v>
      </c>
      <c r="T39" s="9" t="s">
        <v>101</v>
      </c>
      <c r="U39" s="9" t="s">
        <v>118</v>
      </c>
      <c r="V39" s="9" t="s">
        <v>101</v>
      </c>
      <c r="W39" s="9" t="s">
        <v>503</v>
      </c>
      <c r="X39" s="9" t="s">
        <v>101</v>
      </c>
      <c r="Y39" s="9" t="s">
        <v>258</v>
      </c>
    </row>
    <row r="40" spans="1:25" ht="124.2" customHeight="1" x14ac:dyDescent="0.3">
      <c r="A40" s="10">
        <v>39</v>
      </c>
      <c r="B40" s="10" t="s">
        <v>504</v>
      </c>
      <c r="C40" s="10" t="s">
        <v>505</v>
      </c>
      <c r="D40" s="10" t="s">
        <v>506</v>
      </c>
      <c r="E40" s="10" t="s">
        <v>88</v>
      </c>
      <c r="F40" s="10">
        <v>2025</v>
      </c>
      <c r="G40" s="10" t="s">
        <v>507</v>
      </c>
      <c r="H40" s="10" t="s">
        <v>508</v>
      </c>
      <c r="I40" s="10" t="s">
        <v>150</v>
      </c>
      <c r="J40" s="10" t="s">
        <v>93</v>
      </c>
      <c r="K40" s="10" t="s">
        <v>509</v>
      </c>
      <c r="L40" s="10" t="s">
        <v>510</v>
      </c>
      <c r="M40" s="9" t="s">
        <v>511</v>
      </c>
      <c r="N40" s="9" t="s">
        <v>95</v>
      </c>
      <c r="O40" s="9" t="s">
        <v>512</v>
      </c>
      <c r="P40" s="9" t="s">
        <v>97</v>
      </c>
      <c r="Q40" s="9" t="s">
        <v>513</v>
      </c>
      <c r="R40" s="9" t="s">
        <v>101</v>
      </c>
      <c r="S40" s="9" t="s">
        <v>117</v>
      </c>
      <c r="T40" s="9" t="s">
        <v>101</v>
      </c>
      <c r="U40" s="9" t="s">
        <v>118</v>
      </c>
      <c r="V40" s="9" t="s">
        <v>101</v>
      </c>
      <c r="W40" s="9" t="s">
        <v>514</v>
      </c>
      <c r="X40" s="9" t="s">
        <v>101</v>
      </c>
      <c r="Y40" s="9" t="s">
        <v>515</v>
      </c>
    </row>
    <row r="41" spans="1:25" ht="91.8" customHeight="1" x14ac:dyDescent="0.3">
      <c r="A41" s="10">
        <v>40</v>
      </c>
      <c r="B41" s="10" t="s">
        <v>516</v>
      </c>
      <c r="C41" s="10" t="s">
        <v>517</v>
      </c>
      <c r="D41" s="10" t="s">
        <v>518</v>
      </c>
      <c r="E41" s="10" t="s">
        <v>108</v>
      </c>
      <c r="F41" s="10">
        <v>2023</v>
      </c>
      <c r="G41" s="10" t="s">
        <v>251</v>
      </c>
      <c r="H41" s="10" t="s">
        <v>149</v>
      </c>
      <c r="I41" s="10" t="s">
        <v>316</v>
      </c>
      <c r="J41" s="10" t="s">
        <v>519</v>
      </c>
      <c r="K41" s="10" t="s">
        <v>520</v>
      </c>
      <c r="L41" s="10" t="s">
        <v>93</v>
      </c>
      <c r="M41" s="9" t="s">
        <v>521</v>
      </c>
      <c r="N41" s="9" t="s">
        <v>95</v>
      </c>
      <c r="O41" s="9" t="s">
        <v>522</v>
      </c>
      <c r="P41" s="9" t="s">
        <v>115</v>
      </c>
      <c r="Q41" s="9" t="s">
        <v>116</v>
      </c>
      <c r="R41" s="9" t="s">
        <v>101</v>
      </c>
      <c r="S41" s="9" t="s">
        <v>117</v>
      </c>
      <c r="T41" s="9" t="s">
        <v>101</v>
      </c>
      <c r="U41" s="9" t="s">
        <v>118</v>
      </c>
      <c r="V41" s="9" t="s">
        <v>101</v>
      </c>
      <c r="W41" s="9" t="s">
        <v>523</v>
      </c>
      <c r="X41" s="9" t="s">
        <v>101</v>
      </c>
      <c r="Y41" s="9" t="s">
        <v>258</v>
      </c>
    </row>
    <row r="42" spans="1:25" ht="111.6" customHeight="1" x14ac:dyDescent="0.3">
      <c r="A42" s="10">
        <v>41</v>
      </c>
      <c r="B42" s="10" t="s">
        <v>524</v>
      </c>
      <c r="C42" s="10" t="s">
        <v>525</v>
      </c>
      <c r="D42" s="10" t="s">
        <v>526</v>
      </c>
      <c r="E42" s="10" t="s">
        <v>108</v>
      </c>
      <c r="F42" s="10">
        <v>2024</v>
      </c>
      <c r="G42" s="10" t="s">
        <v>527</v>
      </c>
      <c r="H42" s="10" t="s">
        <v>528</v>
      </c>
      <c r="I42" s="10" t="s">
        <v>529</v>
      </c>
      <c r="J42" s="10" t="s">
        <v>93</v>
      </c>
      <c r="K42" s="10" t="s">
        <v>530</v>
      </c>
      <c r="L42" s="10" t="s">
        <v>93</v>
      </c>
      <c r="M42" s="9" t="s">
        <v>531</v>
      </c>
      <c r="N42" s="9" t="s">
        <v>532</v>
      </c>
      <c r="O42" s="9" t="s">
        <v>533</v>
      </c>
      <c r="P42" s="9" t="s">
        <v>115</v>
      </c>
      <c r="Q42" s="9" t="s">
        <v>116</v>
      </c>
      <c r="R42" s="9" t="s">
        <v>101</v>
      </c>
      <c r="S42" s="9" t="s">
        <v>117</v>
      </c>
      <c r="T42" s="9" t="s">
        <v>101</v>
      </c>
      <c r="U42" s="9" t="s">
        <v>118</v>
      </c>
      <c r="V42" s="9" t="s">
        <v>101</v>
      </c>
      <c r="W42" s="9" t="s">
        <v>534</v>
      </c>
      <c r="X42" s="9" t="s">
        <v>101</v>
      </c>
      <c r="Y42" s="9" t="s">
        <v>133</v>
      </c>
    </row>
    <row r="43" spans="1:25" ht="105.6" customHeight="1" x14ac:dyDescent="0.3">
      <c r="A43" s="10">
        <v>42</v>
      </c>
      <c r="B43" s="10" t="s">
        <v>535</v>
      </c>
      <c r="C43" s="10" t="s">
        <v>536</v>
      </c>
      <c r="D43" s="10" t="s">
        <v>537</v>
      </c>
      <c r="E43" s="10" t="s">
        <v>538</v>
      </c>
      <c r="F43" s="10">
        <v>2022</v>
      </c>
      <c r="G43" s="10" t="s">
        <v>148</v>
      </c>
      <c r="H43" s="10" t="s">
        <v>402</v>
      </c>
      <c r="I43" s="10" t="s">
        <v>539</v>
      </c>
      <c r="J43" s="10" t="s">
        <v>93</v>
      </c>
      <c r="K43" s="10" t="s">
        <v>93</v>
      </c>
      <c r="L43" s="10" t="s">
        <v>540</v>
      </c>
      <c r="M43" s="9" t="s">
        <v>162</v>
      </c>
      <c r="N43" s="9" t="s">
        <v>95</v>
      </c>
      <c r="O43" s="9" t="s">
        <v>541</v>
      </c>
      <c r="P43" s="9" t="s">
        <v>97</v>
      </c>
      <c r="Q43" s="9" t="s">
        <v>542</v>
      </c>
      <c r="R43" s="9" t="s">
        <v>101</v>
      </c>
      <c r="S43" s="9" t="s">
        <v>117</v>
      </c>
      <c r="T43" s="9" t="s">
        <v>101</v>
      </c>
      <c r="U43" s="9" t="s">
        <v>118</v>
      </c>
      <c r="V43" s="9" t="s">
        <v>101</v>
      </c>
      <c r="W43" s="9" t="s">
        <v>543</v>
      </c>
      <c r="X43" s="9" t="s">
        <v>101</v>
      </c>
      <c r="Y43" s="9" t="s">
        <v>154</v>
      </c>
    </row>
    <row r="44" spans="1:25" ht="116.4" customHeight="1" x14ac:dyDescent="0.3">
      <c r="A44" s="10">
        <v>43</v>
      </c>
      <c r="B44" s="10" t="s">
        <v>544</v>
      </c>
      <c r="C44" s="10" t="s">
        <v>545</v>
      </c>
      <c r="D44" s="10" t="s">
        <v>546</v>
      </c>
      <c r="E44" s="10" t="s">
        <v>108</v>
      </c>
      <c r="F44" s="10">
        <v>2026</v>
      </c>
      <c r="G44" s="10" t="s">
        <v>547</v>
      </c>
      <c r="H44" s="10" t="s">
        <v>548</v>
      </c>
      <c r="I44" s="10" t="s">
        <v>549</v>
      </c>
      <c r="J44" s="10" t="s">
        <v>93</v>
      </c>
      <c r="K44" s="10" t="s">
        <v>550</v>
      </c>
      <c r="L44" s="10" t="s">
        <v>93</v>
      </c>
      <c r="M44" s="9" t="s">
        <v>551</v>
      </c>
      <c r="N44" s="9" t="s">
        <v>532</v>
      </c>
      <c r="O44" s="9" t="s">
        <v>552</v>
      </c>
      <c r="P44" s="9" t="s">
        <v>97</v>
      </c>
      <c r="Q44" s="9" t="s">
        <v>553</v>
      </c>
      <c r="R44" s="9" t="s">
        <v>101</v>
      </c>
      <c r="S44" s="9" t="s">
        <v>117</v>
      </c>
      <c r="T44" s="9" t="s">
        <v>101</v>
      </c>
      <c r="U44" s="9" t="s">
        <v>118</v>
      </c>
      <c r="V44" s="9" t="s">
        <v>101</v>
      </c>
      <c r="W44" s="9" t="s">
        <v>554</v>
      </c>
      <c r="X44" s="9" t="s">
        <v>101</v>
      </c>
      <c r="Y44" s="9" t="s">
        <v>133</v>
      </c>
    </row>
    <row r="45" spans="1:25" ht="104.4" customHeight="1" x14ac:dyDescent="0.3">
      <c r="A45" s="10">
        <v>44</v>
      </c>
      <c r="B45" s="10" t="s">
        <v>555</v>
      </c>
      <c r="C45" s="10" t="s">
        <v>556</v>
      </c>
      <c r="D45" s="10" t="s">
        <v>557</v>
      </c>
      <c r="E45" s="10" t="s">
        <v>108</v>
      </c>
      <c r="F45" s="10">
        <v>2021</v>
      </c>
      <c r="G45" s="10" t="s">
        <v>336</v>
      </c>
      <c r="H45" s="10" t="s">
        <v>149</v>
      </c>
      <c r="I45" s="10" t="s">
        <v>558</v>
      </c>
      <c r="J45" s="10" t="s">
        <v>93</v>
      </c>
      <c r="K45" s="10" t="s">
        <v>559</v>
      </c>
      <c r="L45" s="10" t="s">
        <v>93</v>
      </c>
      <c r="M45" s="9" t="s">
        <v>560</v>
      </c>
      <c r="N45" s="9" t="s">
        <v>95</v>
      </c>
      <c r="O45" s="9" t="s">
        <v>561</v>
      </c>
      <c r="P45" s="9" t="s">
        <v>115</v>
      </c>
      <c r="Q45" s="9" t="s">
        <v>116</v>
      </c>
      <c r="R45" s="9" t="s">
        <v>99</v>
      </c>
      <c r="S45" s="9" t="s">
        <v>562</v>
      </c>
      <c r="T45" s="9" t="s">
        <v>101</v>
      </c>
      <c r="U45" s="9" t="s">
        <v>118</v>
      </c>
      <c r="V45" s="9" t="s">
        <v>99</v>
      </c>
      <c r="W45" s="9" t="s">
        <v>563</v>
      </c>
      <c r="X45" s="9" t="s">
        <v>101</v>
      </c>
      <c r="Y45" s="9" t="s">
        <v>133</v>
      </c>
    </row>
    <row r="46" spans="1:25" ht="127.2" customHeight="1" x14ac:dyDescent="0.3">
      <c r="A46" s="10">
        <v>45</v>
      </c>
      <c r="B46" s="10" t="s">
        <v>564</v>
      </c>
      <c r="C46" s="10" t="s">
        <v>565</v>
      </c>
      <c r="D46" s="10" t="s">
        <v>566</v>
      </c>
      <c r="E46" s="10" t="s">
        <v>108</v>
      </c>
      <c r="F46" s="10">
        <v>2022</v>
      </c>
      <c r="G46" s="10" t="s">
        <v>336</v>
      </c>
      <c r="H46" s="10" t="s">
        <v>241</v>
      </c>
      <c r="I46" s="10" t="s">
        <v>567</v>
      </c>
      <c r="J46" s="10" t="s">
        <v>93</v>
      </c>
      <c r="K46" s="10" t="s">
        <v>568</v>
      </c>
      <c r="L46" s="10" t="s">
        <v>93</v>
      </c>
      <c r="M46" s="9" t="s">
        <v>569</v>
      </c>
      <c r="N46" s="9" t="s">
        <v>95</v>
      </c>
      <c r="O46" s="9" t="s">
        <v>570</v>
      </c>
      <c r="P46" s="9" t="s">
        <v>97</v>
      </c>
      <c r="Q46" s="9" t="s">
        <v>571</v>
      </c>
      <c r="R46" s="9" t="s">
        <v>101</v>
      </c>
      <c r="S46" s="9" t="s">
        <v>117</v>
      </c>
      <c r="T46" s="9" t="s">
        <v>101</v>
      </c>
      <c r="U46" s="9" t="s">
        <v>118</v>
      </c>
      <c r="V46" s="9" t="s">
        <v>101</v>
      </c>
      <c r="W46" s="9" t="s">
        <v>572</v>
      </c>
      <c r="X46" s="9" t="s">
        <v>101</v>
      </c>
      <c r="Y46" s="9" t="s">
        <v>133</v>
      </c>
    </row>
    <row r="47" spans="1:25" ht="122.4" customHeight="1" x14ac:dyDescent="0.3">
      <c r="A47" s="10">
        <v>46</v>
      </c>
      <c r="B47" s="10" t="s">
        <v>573</v>
      </c>
      <c r="C47" s="10" t="s">
        <v>574</v>
      </c>
      <c r="D47" s="10" t="s">
        <v>575</v>
      </c>
      <c r="E47" s="10" t="s">
        <v>108</v>
      </c>
      <c r="F47" s="10">
        <v>2025</v>
      </c>
      <c r="G47" s="10" t="s">
        <v>251</v>
      </c>
      <c r="H47" s="10" t="s">
        <v>576</v>
      </c>
      <c r="I47" s="10" t="s">
        <v>577</v>
      </c>
      <c r="J47" s="10" t="s">
        <v>578</v>
      </c>
      <c r="K47" s="10" t="s">
        <v>579</v>
      </c>
      <c r="L47" s="10" t="s">
        <v>93</v>
      </c>
      <c r="M47" s="9" t="s">
        <v>212</v>
      </c>
      <c r="N47" s="9" t="s">
        <v>95</v>
      </c>
      <c r="O47" s="9" t="s">
        <v>580</v>
      </c>
      <c r="P47" s="9" t="s">
        <v>97</v>
      </c>
      <c r="Q47" s="9" t="s">
        <v>581</v>
      </c>
      <c r="R47" s="9" t="s">
        <v>101</v>
      </c>
      <c r="S47" s="9" t="s">
        <v>117</v>
      </c>
      <c r="T47" s="9" t="s">
        <v>101</v>
      </c>
      <c r="U47" s="9" t="s">
        <v>118</v>
      </c>
      <c r="V47" s="9" t="s">
        <v>101</v>
      </c>
      <c r="W47" s="9" t="s">
        <v>582</v>
      </c>
      <c r="X47" s="9" t="s">
        <v>101</v>
      </c>
      <c r="Y47" s="9" t="s">
        <v>258</v>
      </c>
    </row>
    <row r="48" spans="1:25" ht="110.4" customHeight="1" x14ac:dyDescent="0.3">
      <c r="A48" s="10">
        <v>47</v>
      </c>
      <c r="B48" s="10" t="s">
        <v>583</v>
      </c>
      <c r="C48" s="10" t="s">
        <v>584</v>
      </c>
      <c r="D48" s="10" t="s">
        <v>585</v>
      </c>
      <c r="E48" s="10" t="s">
        <v>108</v>
      </c>
      <c r="F48" s="10">
        <v>2026</v>
      </c>
      <c r="G48" s="10" t="s">
        <v>124</v>
      </c>
      <c r="H48" s="10" t="s">
        <v>586</v>
      </c>
      <c r="I48" s="10" t="s">
        <v>587</v>
      </c>
      <c r="J48" s="10" t="s">
        <v>588</v>
      </c>
      <c r="K48" s="10" t="s">
        <v>589</v>
      </c>
      <c r="L48" s="10" t="s">
        <v>93</v>
      </c>
      <c r="M48" s="9" t="s">
        <v>590</v>
      </c>
      <c r="N48" s="9" t="s">
        <v>591</v>
      </c>
      <c r="O48" s="9" t="s">
        <v>592</v>
      </c>
      <c r="P48" s="9" t="s">
        <v>97</v>
      </c>
      <c r="Q48" s="9" t="s">
        <v>593</v>
      </c>
      <c r="R48" s="9" t="s">
        <v>99</v>
      </c>
      <c r="S48" s="9" t="s">
        <v>594</v>
      </c>
      <c r="T48" s="9" t="s">
        <v>101</v>
      </c>
      <c r="U48" s="9" t="s">
        <v>595</v>
      </c>
      <c r="V48" s="9" t="s">
        <v>101</v>
      </c>
      <c r="W48" s="9" t="s">
        <v>596</v>
      </c>
      <c r="X48" s="9" t="s">
        <v>101</v>
      </c>
      <c r="Y48" s="9" t="s">
        <v>258</v>
      </c>
    </row>
    <row r="49" spans="1:25" ht="120" customHeight="1" x14ac:dyDescent="0.3">
      <c r="A49" s="10">
        <v>48</v>
      </c>
      <c r="B49" s="10" t="s">
        <v>597</v>
      </c>
      <c r="C49" s="10" t="s">
        <v>598</v>
      </c>
      <c r="D49" s="10" t="s">
        <v>599</v>
      </c>
      <c r="E49" s="10" t="s">
        <v>108</v>
      </c>
      <c r="F49" s="10">
        <v>2024</v>
      </c>
      <c r="G49" s="10" t="s">
        <v>124</v>
      </c>
      <c r="H49" s="10" t="s">
        <v>149</v>
      </c>
      <c r="I49" s="10" t="s">
        <v>316</v>
      </c>
      <c r="J49" s="10" t="s">
        <v>93</v>
      </c>
      <c r="K49" s="10" t="s">
        <v>600</v>
      </c>
      <c r="L49" s="10" t="s">
        <v>93</v>
      </c>
      <c r="M49" s="9" t="s">
        <v>521</v>
      </c>
      <c r="N49" s="9" t="s">
        <v>95</v>
      </c>
      <c r="O49" s="9" t="s">
        <v>601</v>
      </c>
      <c r="P49" s="9" t="s">
        <v>115</v>
      </c>
      <c r="Q49" s="9" t="s">
        <v>116</v>
      </c>
      <c r="R49" s="9" t="s">
        <v>99</v>
      </c>
      <c r="S49" s="9" t="s">
        <v>602</v>
      </c>
      <c r="T49" s="9" t="s">
        <v>101</v>
      </c>
      <c r="U49" s="9" t="s">
        <v>118</v>
      </c>
      <c r="V49" s="9" t="s">
        <v>101</v>
      </c>
      <c r="W49" s="9" t="s">
        <v>523</v>
      </c>
      <c r="X49" s="9" t="s">
        <v>101</v>
      </c>
      <c r="Y49" s="9" t="s">
        <v>133</v>
      </c>
    </row>
    <row r="50" spans="1:25" ht="107.4" customHeight="1" x14ac:dyDescent="0.3">
      <c r="A50" s="10">
        <v>49</v>
      </c>
      <c r="B50" s="10" t="s">
        <v>603</v>
      </c>
      <c r="C50" s="10" t="s">
        <v>604</v>
      </c>
      <c r="D50" s="10" t="s">
        <v>605</v>
      </c>
      <c r="E50" s="10" t="s">
        <v>108</v>
      </c>
      <c r="F50" s="10">
        <v>2022</v>
      </c>
      <c r="G50" s="10" t="s">
        <v>336</v>
      </c>
      <c r="H50" s="10" t="s">
        <v>606</v>
      </c>
      <c r="I50" s="10" t="s">
        <v>126</v>
      </c>
      <c r="J50" s="10" t="s">
        <v>93</v>
      </c>
      <c r="K50" s="10" t="s">
        <v>607</v>
      </c>
      <c r="L50" s="10" t="s">
        <v>93</v>
      </c>
      <c r="M50" s="9" t="s">
        <v>608</v>
      </c>
      <c r="N50" s="9" t="s">
        <v>95</v>
      </c>
      <c r="O50" s="9" t="s">
        <v>609</v>
      </c>
      <c r="P50" s="9" t="s">
        <v>115</v>
      </c>
      <c r="Q50" s="9" t="s">
        <v>116</v>
      </c>
      <c r="R50" s="9" t="s">
        <v>101</v>
      </c>
      <c r="S50" s="9" t="s">
        <v>117</v>
      </c>
      <c r="T50" s="9" t="s">
        <v>101</v>
      </c>
      <c r="U50" s="9" t="s">
        <v>118</v>
      </c>
      <c r="V50" s="9" t="s">
        <v>99</v>
      </c>
      <c r="W50" s="9" t="s">
        <v>610</v>
      </c>
      <c r="X50" s="9" t="s">
        <v>101</v>
      </c>
      <c r="Y50" s="9" t="s">
        <v>133</v>
      </c>
    </row>
    <row r="51" spans="1:25" ht="87" customHeight="1" x14ac:dyDescent="0.3">
      <c r="A51" s="10">
        <v>50</v>
      </c>
      <c r="B51" s="10" t="s">
        <v>611</v>
      </c>
      <c r="C51" s="10" t="s">
        <v>612</v>
      </c>
      <c r="D51" s="10" t="s">
        <v>613</v>
      </c>
      <c r="E51" s="10" t="s">
        <v>108</v>
      </c>
      <c r="F51" s="10">
        <v>2023</v>
      </c>
      <c r="G51" s="10" t="s">
        <v>284</v>
      </c>
      <c r="H51" s="10" t="s">
        <v>149</v>
      </c>
      <c r="I51" s="10" t="s">
        <v>126</v>
      </c>
      <c r="J51" s="10" t="s">
        <v>614</v>
      </c>
      <c r="K51" s="10" t="s">
        <v>615</v>
      </c>
      <c r="L51" s="10" t="s">
        <v>93</v>
      </c>
      <c r="M51" s="9" t="s">
        <v>140</v>
      </c>
      <c r="N51" s="9" t="s">
        <v>95</v>
      </c>
      <c r="O51" s="9" t="s">
        <v>616</v>
      </c>
      <c r="P51" s="9" t="s">
        <v>115</v>
      </c>
      <c r="Q51" s="9" t="s">
        <v>116</v>
      </c>
      <c r="R51" s="9" t="s">
        <v>99</v>
      </c>
      <c r="S51" s="9" t="s">
        <v>617</v>
      </c>
      <c r="T51" s="9" t="s">
        <v>101</v>
      </c>
      <c r="U51" s="9" t="s">
        <v>118</v>
      </c>
      <c r="V51" s="9" t="s">
        <v>99</v>
      </c>
      <c r="W51" s="9" t="s">
        <v>618</v>
      </c>
      <c r="X51" s="9" t="s">
        <v>101</v>
      </c>
      <c r="Y51" s="9" t="s">
        <v>258</v>
      </c>
    </row>
    <row r="52" spans="1:25" ht="123.6" customHeight="1" x14ac:dyDescent="0.3">
      <c r="A52" s="10">
        <v>51</v>
      </c>
      <c r="B52" s="10" t="s">
        <v>619</v>
      </c>
      <c r="C52" s="10" t="s">
        <v>620</v>
      </c>
      <c r="D52" s="10" t="s">
        <v>621</v>
      </c>
      <c r="E52" s="10" t="s">
        <v>108</v>
      </c>
      <c r="F52" s="10">
        <v>2024</v>
      </c>
      <c r="G52" s="10" t="s">
        <v>89</v>
      </c>
      <c r="H52" s="10" t="s">
        <v>622</v>
      </c>
      <c r="I52" s="10" t="s">
        <v>623</v>
      </c>
      <c r="J52" s="10" t="s">
        <v>624</v>
      </c>
      <c r="K52" s="10" t="s">
        <v>93</v>
      </c>
      <c r="L52" s="10" t="s">
        <v>93</v>
      </c>
      <c r="M52" s="9" t="s">
        <v>625</v>
      </c>
      <c r="N52" s="9" t="s">
        <v>626</v>
      </c>
      <c r="O52" s="9" t="s">
        <v>627</v>
      </c>
      <c r="P52" s="9" t="s">
        <v>97</v>
      </c>
      <c r="Q52" s="9" t="s">
        <v>628</v>
      </c>
      <c r="R52" s="9" t="s">
        <v>101</v>
      </c>
      <c r="S52" s="9" t="s">
        <v>117</v>
      </c>
      <c r="T52" s="9" t="s">
        <v>101</v>
      </c>
      <c r="U52" s="9" t="s">
        <v>118</v>
      </c>
      <c r="V52" s="9" t="s">
        <v>101</v>
      </c>
      <c r="W52" s="9" t="s">
        <v>629</v>
      </c>
      <c r="X52" s="9" t="s">
        <v>101</v>
      </c>
      <c r="Y52" s="9" t="s">
        <v>104</v>
      </c>
    </row>
    <row r="53" spans="1:25" ht="110.4" customHeight="1" x14ac:dyDescent="0.3">
      <c r="A53" s="10">
        <v>52</v>
      </c>
      <c r="B53" s="10" t="s">
        <v>630</v>
      </c>
      <c r="C53" s="10" t="s">
        <v>631</v>
      </c>
      <c r="D53" s="10" t="s">
        <v>632</v>
      </c>
      <c r="E53" s="10" t="s">
        <v>108</v>
      </c>
      <c r="F53" s="10">
        <v>2024</v>
      </c>
      <c r="G53" s="10" t="s">
        <v>336</v>
      </c>
      <c r="H53" s="10" t="s">
        <v>633</v>
      </c>
      <c r="I53" s="10" t="s">
        <v>634</v>
      </c>
      <c r="J53" s="10" t="s">
        <v>93</v>
      </c>
      <c r="K53" s="10" t="s">
        <v>635</v>
      </c>
      <c r="L53" s="10" t="s">
        <v>93</v>
      </c>
      <c r="M53" s="9" t="s">
        <v>636</v>
      </c>
      <c r="N53" s="9" t="s">
        <v>446</v>
      </c>
      <c r="O53" s="9" t="s">
        <v>637</v>
      </c>
      <c r="P53" s="9" t="s">
        <v>115</v>
      </c>
      <c r="Q53" s="9" t="s">
        <v>638</v>
      </c>
      <c r="R53" s="9" t="s">
        <v>99</v>
      </c>
      <c r="S53" s="9" t="s">
        <v>639</v>
      </c>
      <c r="T53" s="9" t="s">
        <v>99</v>
      </c>
      <c r="U53" s="9" t="s">
        <v>640</v>
      </c>
      <c r="V53" s="9" t="s">
        <v>99</v>
      </c>
      <c r="W53" s="9" t="s">
        <v>641</v>
      </c>
      <c r="X53" s="9" t="s">
        <v>101</v>
      </c>
      <c r="Y53" s="9" t="s">
        <v>133</v>
      </c>
    </row>
    <row r="54" spans="1:25" ht="125.4" customHeight="1" x14ac:dyDescent="0.3">
      <c r="A54" s="10">
        <v>53</v>
      </c>
      <c r="B54" s="10" t="s">
        <v>642</v>
      </c>
      <c r="C54" s="10" t="s">
        <v>643</v>
      </c>
      <c r="D54" s="10" t="s">
        <v>644</v>
      </c>
      <c r="E54" s="10" t="s">
        <v>108</v>
      </c>
      <c r="F54" s="10">
        <v>2023</v>
      </c>
      <c r="G54" s="10" t="s">
        <v>645</v>
      </c>
      <c r="H54" s="10" t="s">
        <v>646</v>
      </c>
      <c r="I54" s="10" t="s">
        <v>647</v>
      </c>
      <c r="J54" s="10" t="s">
        <v>648</v>
      </c>
      <c r="K54" s="10" t="s">
        <v>649</v>
      </c>
      <c r="L54" s="10" t="s">
        <v>93</v>
      </c>
      <c r="M54" s="9" t="s">
        <v>521</v>
      </c>
      <c r="N54" s="9" t="s">
        <v>95</v>
      </c>
      <c r="O54" s="9" t="s">
        <v>650</v>
      </c>
      <c r="P54" s="9" t="s">
        <v>97</v>
      </c>
      <c r="Q54" s="9" t="s">
        <v>651</v>
      </c>
      <c r="R54" s="9" t="s">
        <v>99</v>
      </c>
      <c r="S54" s="9" t="s">
        <v>652</v>
      </c>
      <c r="T54" s="9" t="s">
        <v>101</v>
      </c>
      <c r="U54" s="9" t="s">
        <v>118</v>
      </c>
      <c r="V54" s="9" t="s">
        <v>101</v>
      </c>
      <c r="W54" s="9" t="s">
        <v>653</v>
      </c>
      <c r="X54" s="9" t="s">
        <v>101</v>
      </c>
      <c r="Y54" s="9" t="s">
        <v>258</v>
      </c>
    </row>
    <row r="55" spans="1:25" ht="120.6" customHeight="1" x14ac:dyDescent="0.3">
      <c r="A55" s="10">
        <v>54</v>
      </c>
      <c r="B55" s="10" t="s">
        <v>654</v>
      </c>
      <c r="C55" s="10" t="s">
        <v>655</v>
      </c>
      <c r="D55" s="10" t="s">
        <v>656</v>
      </c>
      <c r="E55" s="10" t="s">
        <v>108</v>
      </c>
      <c r="F55" s="10">
        <v>2022</v>
      </c>
      <c r="G55" s="10" t="s">
        <v>401</v>
      </c>
      <c r="H55" s="10" t="s">
        <v>657</v>
      </c>
      <c r="I55" s="10" t="s">
        <v>658</v>
      </c>
      <c r="J55" s="10" t="s">
        <v>659</v>
      </c>
      <c r="K55" s="10" t="s">
        <v>93</v>
      </c>
      <c r="L55" s="10" t="s">
        <v>660</v>
      </c>
      <c r="M55" s="9" t="s">
        <v>661</v>
      </c>
      <c r="N55" s="9" t="s">
        <v>95</v>
      </c>
      <c r="O55" s="9" t="s">
        <v>662</v>
      </c>
      <c r="P55" s="9" t="s">
        <v>97</v>
      </c>
      <c r="Q55" s="9" t="s">
        <v>663</v>
      </c>
      <c r="R55" s="9" t="s">
        <v>101</v>
      </c>
      <c r="S55" s="9" t="s">
        <v>117</v>
      </c>
      <c r="T55" s="9" t="s">
        <v>101</v>
      </c>
      <c r="U55" s="9" t="s">
        <v>118</v>
      </c>
      <c r="V55" s="9" t="s">
        <v>101</v>
      </c>
      <c r="W55" s="9" t="s">
        <v>664</v>
      </c>
      <c r="X55" s="9" t="s">
        <v>101</v>
      </c>
      <c r="Y55" s="9" t="s">
        <v>120</v>
      </c>
    </row>
    <row r="56" spans="1:25" ht="93.6" customHeight="1" x14ac:dyDescent="0.3">
      <c r="A56" s="10">
        <v>55</v>
      </c>
      <c r="B56" s="10" t="s">
        <v>665</v>
      </c>
      <c r="C56" s="10" t="s">
        <v>666</v>
      </c>
      <c r="D56" s="10" t="s">
        <v>667</v>
      </c>
      <c r="E56" s="10" t="s">
        <v>668</v>
      </c>
      <c r="F56" s="10">
        <v>2022</v>
      </c>
      <c r="G56" s="10" t="s">
        <v>669</v>
      </c>
      <c r="H56" s="10" t="s">
        <v>149</v>
      </c>
      <c r="I56" s="10" t="s">
        <v>577</v>
      </c>
      <c r="J56" s="10" t="s">
        <v>670</v>
      </c>
      <c r="K56" s="10" t="s">
        <v>93</v>
      </c>
      <c r="L56" s="10" t="s">
        <v>93</v>
      </c>
      <c r="M56" s="9" t="s">
        <v>671</v>
      </c>
      <c r="N56" s="9" t="s">
        <v>672</v>
      </c>
      <c r="O56" s="9" t="s">
        <v>673</v>
      </c>
      <c r="P56" s="9" t="s">
        <v>115</v>
      </c>
      <c r="Q56" s="9" t="s">
        <v>116</v>
      </c>
      <c r="R56" s="9" t="s">
        <v>99</v>
      </c>
      <c r="S56" s="9" t="s">
        <v>674</v>
      </c>
      <c r="T56" s="9" t="s">
        <v>101</v>
      </c>
      <c r="U56" s="9" t="s">
        <v>675</v>
      </c>
      <c r="V56" s="9" t="s">
        <v>101</v>
      </c>
      <c r="W56" s="9" t="s">
        <v>676</v>
      </c>
      <c r="X56" s="9" t="s">
        <v>101</v>
      </c>
      <c r="Y56" s="9" t="s">
        <v>104</v>
      </c>
    </row>
    <row r="57" spans="1:25" ht="129.6" customHeight="1" x14ac:dyDescent="0.3">
      <c r="A57" s="10">
        <v>56</v>
      </c>
      <c r="B57" s="10" t="s">
        <v>677</v>
      </c>
      <c r="C57" s="10" t="s">
        <v>678</v>
      </c>
      <c r="D57" s="10" t="s">
        <v>679</v>
      </c>
      <c r="E57" s="10" t="s">
        <v>108</v>
      </c>
      <c r="F57" s="10">
        <v>2025</v>
      </c>
      <c r="G57" s="10" t="s">
        <v>251</v>
      </c>
      <c r="H57" s="10" t="s">
        <v>475</v>
      </c>
      <c r="I57" s="10" t="s">
        <v>680</v>
      </c>
      <c r="J57" s="10" t="s">
        <v>681</v>
      </c>
      <c r="K57" s="10" t="s">
        <v>682</v>
      </c>
      <c r="L57" s="10" t="s">
        <v>93</v>
      </c>
      <c r="M57" s="9" t="s">
        <v>683</v>
      </c>
      <c r="N57" s="9" t="s">
        <v>95</v>
      </c>
      <c r="O57" s="9" t="s">
        <v>684</v>
      </c>
      <c r="P57" s="9" t="s">
        <v>97</v>
      </c>
      <c r="Q57" s="9" t="s">
        <v>685</v>
      </c>
      <c r="R57" s="9" t="s">
        <v>101</v>
      </c>
      <c r="S57" s="9" t="s">
        <v>117</v>
      </c>
      <c r="T57" s="9" t="s">
        <v>101</v>
      </c>
      <c r="U57" s="9" t="s">
        <v>118</v>
      </c>
      <c r="V57" s="9" t="s">
        <v>101</v>
      </c>
      <c r="W57" s="9" t="s">
        <v>686</v>
      </c>
      <c r="X57" s="9" t="s">
        <v>101</v>
      </c>
      <c r="Y57" s="9" t="s">
        <v>258</v>
      </c>
    </row>
    <row r="58" spans="1:25" ht="127.2" customHeight="1" x14ac:dyDescent="0.3">
      <c r="A58" s="10">
        <v>57</v>
      </c>
      <c r="B58" s="10" t="s">
        <v>687</v>
      </c>
      <c r="C58" s="10" t="s">
        <v>688</v>
      </c>
      <c r="D58" s="10" t="s">
        <v>689</v>
      </c>
      <c r="E58" s="10" t="s">
        <v>108</v>
      </c>
      <c r="F58" s="10">
        <v>2024</v>
      </c>
      <c r="G58" s="10" t="s">
        <v>336</v>
      </c>
      <c r="H58" s="10" t="s">
        <v>475</v>
      </c>
      <c r="I58" s="10" t="s">
        <v>690</v>
      </c>
      <c r="J58" s="10" t="s">
        <v>93</v>
      </c>
      <c r="K58" s="10" t="s">
        <v>691</v>
      </c>
      <c r="L58" s="10" t="s">
        <v>93</v>
      </c>
      <c r="M58" s="9" t="s">
        <v>683</v>
      </c>
      <c r="N58" s="9" t="s">
        <v>95</v>
      </c>
      <c r="O58" s="9" t="s">
        <v>692</v>
      </c>
      <c r="P58" s="9" t="s">
        <v>97</v>
      </c>
      <c r="Q58" s="9" t="s">
        <v>693</v>
      </c>
      <c r="R58" s="9" t="s">
        <v>101</v>
      </c>
      <c r="S58" s="9" t="s">
        <v>117</v>
      </c>
      <c r="T58" s="9" t="s">
        <v>101</v>
      </c>
      <c r="U58" s="9" t="s">
        <v>118</v>
      </c>
      <c r="V58" s="9" t="s">
        <v>101</v>
      </c>
      <c r="W58" s="9" t="s">
        <v>686</v>
      </c>
      <c r="X58" s="9" t="s">
        <v>101</v>
      </c>
      <c r="Y58" s="9" t="s">
        <v>133</v>
      </c>
    </row>
    <row r="59" spans="1:25" ht="128.4" customHeight="1" x14ac:dyDescent="0.3">
      <c r="A59" s="10">
        <v>58</v>
      </c>
      <c r="B59" s="10" t="s">
        <v>694</v>
      </c>
      <c r="C59" s="10" t="s">
        <v>695</v>
      </c>
      <c r="D59" s="10" t="s">
        <v>696</v>
      </c>
      <c r="E59" s="10" t="s">
        <v>108</v>
      </c>
      <c r="F59" s="10">
        <v>2025</v>
      </c>
      <c r="G59" s="10" t="s">
        <v>124</v>
      </c>
      <c r="H59" s="10" t="s">
        <v>697</v>
      </c>
      <c r="I59" s="10" t="s">
        <v>698</v>
      </c>
      <c r="J59" s="10" t="s">
        <v>93</v>
      </c>
      <c r="K59" s="10" t="s">
        <v>699</v>
      </c>
      <c r="L59" s="10" t="s">
        <v>93</v>
      </c>
      <c r="M59" s="9" t="s">
        <v>140</v>
      </c>
      <c r="N59" s="9" t="s">
        <v>700</v>
      </c>
      <c r="O59" s="9" t="s">
        <v>701</v>
      </c>
      <c r="P59" s="9" t="s">
        <v>97</v>
      </c>
      <c r="Q59" s="9" t="s">
        <v>702</v>
      </c>
      <c r="R59" s="9" t="s">
        <v>99</v>
      </c>
      <c r="S59" s="9" t="s">
        <v>703</v>
      </c>
      <c r="T59" s="9" t="s">
        <v>101</v>
      </c>
      <c r="U59" s="9" t="s">
        <v>704</v>
      </c>
      <c r="V59" s="9" t="s">
        <v>101</v>
      </c>
      <c r="W59" s="9" t="s">
        <v>705</v>
      </c>
      <c r="X59" s="9" t="s">
        <v>101</v>
      </c>
      <c r="Y59" s="9" t="s">
        <v>133</v>
      </c>
    </row>
    <row r="60" spans="1:25" ht="109.2" customHeight="1" x14ac:dyDescent="0.3">
      <c r="A60" s="10">
        <v>59</v>
      </c>
      <c r="B60" s="10" t="s">
        <v>706</v>
      </c>
      <c r="C60" s="10" t="s">
        <v>707</v>
      </c>
      <c r="D60" s="10" t="s">
        <v>708</v>
      </c>
      <c r="E60" s="10" t="s">
        <v>108</v>
      </c>
      <c r="F60" s="10">
        <v>2025</v>
      </c>
      <c r="G60" s="10" t="s">
        <v>124</v>
      </c>
      <c r="H60" s="10" t="s">
        <v>402</v>
      </c>
      <c r="I60" s="10" t="s">
        <v>709</v>
      </c>
      <c r="J60" s="10" t="s">
        <v>93</v>
      </c>
      <c r="K60" s="10" t="s">
        <v>710</v>
      </c>
      <c r="L60" s="10" t="s">
        <v>93</v>
      </c>
      <c r="M60" s="9" t="s">
        <v>683</v>
      </c>
      <c r="N60" s="9" t="s">
        <v>95</v>
      </c>
      <c r="O60" s="9" t="s">
        <v>711</v>
      </c>
      <c r="P60" s="9" t="s">
        <v>97</v>
      </c>
      <c r="Q60" s="9" t="s">
        <v>712</v>
      </c>
      <c r="R60" s="9" t="s">
        <v>99</v>
      </c>
      <c r="S60" s="9" t="s">
        <v>713</v>
      </c>
      <c r="T60" s="9" t="s">
        <v>101</v>
      </c>
      <c r="U60" s="9" t="s">
        <v>118</v>
      </c>
      <c r="V60" s="9" t="s">
        <v>101</v>
      </c>
      <c r="W60" s="9" t="s">
        <v>714</v>
      </c>
      <c r="X60" s="9" t="s">
        <v>101</v>
      </c>
      <c r="Y60" s="9" t="s">
        <v>133</v>
      </c>
    </row>
    <row r="61" spans="1:25" ht="108.6" customHeight="1" x14ac:dyDescent="0.3">
      <c r="A61" s="10">
        <v>60</v>
      </c>
      <c r="B61" s="10" t="s">
        <v>715</v>
      </c>
      <c r="C61" s="10" t="s">
        <v>716</v>
      </c>
      <c r="D61" s="10" t="s">
        <v>717</v>
      </c>
      <c r="E61" s="10" t="s">
        <v>108</v>
      </c>
      <c r="F61" s="10">
        <v>2022</v>
      </c>
      <c r="G61" s="10" t="s">
        <v>336</v>
      </c>
      <c r="H61" s="10" t="s">
        <v>586</v>
      </c>
      <c r="I61" s="10" t="s">
        <v>718</v>
      </c>
      <c r="J61" s="10" t="s">
        <v>93</v>
      </c>
      <c r="K61" s="10" t="s">
        <v>719</v>
      </c>
      <c r="L61" s="10" t="s">
        <v>93</v>
      </c>
      <c r="M61" s="9" t="s">
        <v>521</v>
      </c>
      <c r="N61" s="9" t="s">
        <v>95</v>
      </c>
      <c r="O61" s="9" t="s">
        <v>720</v>
      </c>
      <c r="P61" s="9" t="s">
        <v>97</v>
      </c>
      <c r="Q61" s="9" t="s">
        <v>721</v>
      </c>
      <c r="R61" s="9" t="s">
        <v>101</v>
      </c>
      <c r="S61" s="9" t="s">
        <v>117</v>
      </c>
      <c r="T61" s="9" t="s">
        <v>101</v>
      </c>
      <c r="U61" s="9" t="s">
        <v>118</v>
      </c>
      <c r="V61" s="9" t="s">
        <v>101</v>
      </c>
      <c r="W61" s="9" t="s">
        <v>722</v>
      </c>
      <c r="X61" s="9" t="s">
        <v>101</v>
      </c>
      <c r="Y61" s="9" t="s">
        <v>133</v>
      </c>
    </row>
    <row r="62" spans="1:25" ht="87.6" customHeight="1" x14ac:dyDescent="0.3">
      <c r="A62" s="10">
        <v>61</v>
      </c>
      <c r="B62" s="10" t="s">
        <v>723</v>
      </c>
      <c r="C62" s="10" t="s">
        <v>724</v>
      </c>
      <c r="D62" s="10" t="s">
        <v>725</v>
      </c>
      <c r="E62" s="10" t="s">
        <v>108</v>
      </c>
      <c r="F62" s="10">
        <v>2025</v>
      </c>
      <c r="G62" s="10" t="s">
        <v>251</v>
      </c>
      <c r="H62" s="10" t="s">
        <v>726</v>
      </c>
      <c r="I62" s="10" t="s">
        <v>476</v>
      </c>
      <c r="J62" s="10" t="s">
        <v>727</v>
      </c>
      <c r="K62" s="10" t="s">
        <v>728</v>
      </c>
      <c r="L62" s="10" t="s">
        <v>93</v>
      </c>
      <c r="M62" s="9" t="s">
        <v>491</v>
      </c>
      <c r="N62" s="9" t="s">
        <v>95</v>
      </c>
      <c r="O62" s="9" t="s">
        <v>729</v>
      </c>
      <c r="P62" s="9" t="s">
        <v>115</v>
      </c>
      <c r="Q62" s="9" t="s">
        <v>116</v>
      </c>
      <c r="R62" s="9" t="s">
        <v>101</v>
      </c>
      <c r="S62" s="9" t="s">
        <v>117</v>
      </c>
      <c r="T62" s="9" t="s">
        <v>101</v>
      </c>
      <c r="U62" s="9" t="s">
        <v>118</v>
      </c>
      <c r="V62" s="9" t="s">
        <v>101</v>
      </c>
      <c r="W62" s="9" t="s">
        <v>730</v>
      </c>
      <c r="X62" s="9" t="s">
        <v>101</v>
      </c>
      <c r="Y62" s="9" t="s">
        <v>258</v>
      </c>
    </row>
    <row r="63" spans="1:25" ht="106.2" customHeight="1" x14ac:dyDescent="0.3">
      <c r="A63" s="10">
        <v>62</v>
      </c>
      <c r="B63" s="10" t="s">
        <v>731</v>
      </c>
      <c r="C63" s="10" t="s">
        <v>732</v>
      </c>
      <c r="D63" s="10" t="s">
        <v>733</v>
      </c>
      <c r="E63" s="10" t="s">
        <v>88</v>
      </c>
      <c r="F63" s="10">
        <v>2025</v>
      </c>
      <c r="G63" s="10" t="s">
        <v>148</v>
      </c>
      <c r="H63" s="10" t="s">
        <v>734</v>
      </c>
      <c r="I63" s="10" t="s">
        <v>735</v>
      </c>
      <c r="J63" s="10" t="s">
        <v>736</v>
      </c>
      <c r="K63" s="10" t="s">
        <v>93</v>
      </c>
      <c r="L63" s="10" t="s">
        <v>112</v>
      </c>
      <c r="M63" s="9" t="s">
        <v>737</v>
      </c>
      <c r="N63" s="9" t="s">
        <v>193</v>
      </c>
      <c r="O63" s="9" t="s">
        <v>183</v>
      </c>
      <c r="P63" s="9" t="s">
        <v>97</v>
      </c>
      <c r="Q63" s="9" t="s">
        <v>738</v>
      </c>
      <c r="R63" s="9" t="s">
        <v>101</v>
      </c>
      <c r="S63" s="9" t="s">
        <v>117</v>
      </c>
      <c r="T63" s="9" t="s">
        <v>101</v>
      </c>
      <c r="U63" s="9" t="s">
        <v>118</v>
      </c>
      <c r="V63" s="9" t="s">
        <v>101</v>
      </c>
      <c r="W63" s="9" t="s">
        <v>739</v>
      </c>
      <c r="X63" s="9" t="s">
        <v>101</v>
      </c>
      <c r="Y63" s="9" t="s">
        <v>120</v>
      </c>
    </row>
    <row r="64" spans="1:25" ht="105" customHeight="1" x14ac:dyDescent="0.3">
      <c r="A64" s="10">
        <v>63</v>
      </c>
      <c r="B64" s="10" t="s">
        <v>740</v>
      </c>
      <c r="C64" s="10" t="s">
        <v>741</v>
      </c>
      <c r="D64" s="10" t="s">
        <v>742</v>
      </c>
      <c r="E64" s="10" t="s">
        <v>108</v>
      </c>
      <c r="F64" s="10">
        <v>2022</v>
      </c>
      <c r="G64" s="10" t="s">
        <v>743</v>
      </c>
      <c r="H64" s="10" t="s">
        <v>149</v>
      </c>
      <c r="I64" s="10" t="s">
        <v>126</v>
      </c>
      <c r="J64" s="10" t="s">
        <v>744</v>
      </c>
      <c r="K64" s="10" t="s">
        <v>93</v>
      </c>
      <c r="L64" s="10" t="s">
        <v>93</v>
      </c>
      <c r="M64" s="9" t="s">
        <v>745</v>
      </c>
      <c r="N64" s="9" t="s">
        <v>95</v>
      </c>
      <c r="O64" s="9" t="s">
        <v>746</v>
      </c>
      <c r="P64" s="9" t="s">
        <v>115</v>
      </c>
      <c r="Q64" s="9" t="s">
        <v>116</v>
      </c>
      <c r="R64" s="9" t="s">
        <v>101</v>
      </c>
      <c r="S64" s="9" t="s">
        <v>117</v>
      </c>
      <c r="T64" s="9" t="s">
        <v>101</v>
      </c>
      <c r="U64" s="9" t="s">
        <v>118</v>
      </c>
      <c r="V64" s="9" t="s">
        <v>101</v>
      </c>
      <c r="W64" s="9" t="s">
        <v>747</v>
      </c>
      <c r="X64" s="9" t="s">
        <v>101</v>
      </c>
      <c r="Y64" s="9" t="s">
        <v>104</v>
      </c>
    </row>
    <row r="65" spans="1:25" ht="122.4" customHeight="1" x14ac:dyDescent="0.3">
      <c r="A65" s="10">
        <v>64</v>
      </c>
      <c r="B65" s="10" t="s">
        <v>748</v>
      </c>
      <c r="C65" s="10" t="s">
        <v>749</v>
      </c>
      <c r="D65" s="10" t="s">
        <v>750</v>
      </c>
      <c r="E65" s="10" t="s">
        <v>108</v>
      </c>
      <c r="F65" s="10">
        <v>2023</v>
      </c>
      <c r="G65" s="10" t="s">
        <v>743</v>
      </c>
      <c r="H65" s="10" t="s">
        <v>149</v>
      </c>
      <c r="I65" s="10" t="s">
        <v>126</v>
      </c>
      <c r="J65" s="10" t="s">
        <v>751</v>
      </c>
      <c r="K65" s="10" t="s">
        <v>93</v>
      </c>
      <c r="L65" s="10" t="s">
        <v>93</v>
      </c>
      <c r="M65" s="9" t="s">
        <v>752</v>
      </c>
      <c r="N65" s="9" t="s">
        <v>95</v>
      </c>
      <c r="O65" s="9" t="s">
        <v>753</v>
      </c>
      <c r="P65" s="9" t="s">
        <v>115</v>
      </c>
      <c r="Q65" s="9" t="s">
        <v>116</v>
      </c>
      <c r="R65" s="9" t="s">
        <v>99</v>
      </c>
      <c r="S65" s="9" t="s">
        <v>754</v>
      </c>
      <c r="T65" s="9" t="s">
        <v>101</v>
      </c>
      <c r="U65" s="9" t="s">
        <v>118</v>
      </c>
      <c r="V65" s="9" t="s">
        <v>101</v>
      </c>
      <c r="W65" s="9" t="s">
        <v>755</v>
      </c>
      <c r="X65" s="9" t="s">
        <v>101</v>
      </c>
      <c r="Y65" s="9" t="s">
        <v>104</v>
      </c>
    </row>
    <row r="66" spans="1:25" ht="108" customHeight="1" x14ac:dyDescent="0.3">
      <c r="A66" s="11">
        <v>65</v>
      </c>
      <c r="B66" s="11" t="s">
        <v>756</v>
      </c>
      <c r="C66" s="11" t="s">
        <v>757</v>
      </c>
      <c r="D66" s="11" t="s">
        <v>758</v>
      </c>
      <c r="E66" s="11" t="s">
        <v>108</v>
      </c>
      <c r="F66" s="11">
        <v>2026</v>
      </c>
      <c r="G66" s="11" t="s">
        <v>669</v>
      </c>
      <c r="H66" s="11" t="s">
        <v>759</v>
      </c>
      <c r="I66" s="11" t="s">
        <v>760</v>
      </c>
      <c r="J66" s="11" t="s">
        <v>761</v>
      </c>
      <c r="K66" s="9" t="s">
        <v>93</v>
      </c>
      <c r="L66" s="9" t="s">
        <v>93</v>
      </c>
      <c r="M66" s="9" t="s">
        <v>762</v>
      </c>
      <c r="N66" s="9" t="s">
        <v>763</v>
      </c>
      <c r="O66" s="9" t="s">
        <v>764</v>
      </c>
      <c r="P66" s="9" t="s">
        <v>115</v>
      </c>
      <c r="Q66" s="9" t="s">
        <v>116</v>
      </c>
      <c r="R66" s="9" t="s">
        <v>101</v>
      </c>
      <c r="S66" s="9" t="s">
        <v>117</v>
      </c>
      <c r="T66" s="9" t="s">
        <v>101</v>
      </c>
      <c r="U66" s="9" t="s">
        <v>118</v>
      </c>
      <c r="V66" s="9" t="s">
        <v>101</v>
      </c>
      <c r="W66" s="9" t="s">
        <v>765</v>
      </c>
      <c r="X66" s="9" t="s">
        <v>101</v>
      </c>
      <c r="Y66" s="9" t="s">
        <v>104</v>
      </c>
    </row>
    <row r="67" spans="1:25" ht="111.6" customHeight="1" x14ac:dyDescent="0.3">
      <c r="A67" s="11">
        <v>66</v>
      </c>
      <c r="B67" s="11" t="s">
        <v>766</v>
      </c>
      <c r="C67" s="11" t="s">
        <v>767</v>
      </c>
      <c r="D67" s="11" t="s">
        <v>768</v>
      </c>
      <c r="E67" s="11" t="s">
        <v>108</v>
      </c>
      <c r="F67" s="11">
        <v>2024</v>
      </c>
      <c r="G67" s="11" t="s">
        <v>336</v>
      </c>
      <c r="H67" s="11" t="s">
        <v>769</v>
      </c>
      <c r="I67" s="11" t="s">
        <v>770</v>
      </c>
      <c r="J67" s="11" t="s">
        <v>93</v>
      </c>
      <c r="K67" s="9" t="s">
        <v>771</v>
      </c>
      <c r="L67" s="9" t="s">
        <v>93</v>
      </c>
      <c r="M67" s="9" t="s">
        <v>772</v>
      </c>
      <c r="N67" s="9" t="s">
        <v>773</v>
      </c>
      <c r="O67" s="9" t="s">
        <v>774</v>
      </c>
      <c r="P67" s="9" t="s">
        <v>97</v>
      </c>
      <c r="Q67" s="9" t="s">
        <v>775</v>
      </c>
      <c r="R67" s="9" t="s">
        <v>101</v>
      </c>
      <c r="S67" s="9" t="s">
        <v>117</v>
      </c>
      <c r="T67" s="9" t="s">
        <v>101</v>
      </c>
      <c r="U67" s="9" t="s">
        <v>118</v>
      </c>
      <c r="V67" s="9" t="s">
        <v>101</v>
      </c>
      <c r="W67" s="9" t="s">
        <v>776</v>
      </c>
      <c r="X67" s="9" t="s">
        <v>101</v>
      </c>
      <c r="Y67" s="9" t="s">
        <v>133</v>
      </c>
    </row>
    <row r="68" spans="1:25" ht="102.6" customHeight="1" x14ac:dyDescent="0.3">
      <c r="A68" s="11">
        <v>67</v>
      </c>
      <c r="B68" s="11" t="s">
        <v>777</v>
      </c>
      <c r="C68" s="11" t="s">
        <v>778</v>
      </c>
      <c r="D68" s="11" t="s">
        <v>779</v>
      </c>
      <c r="E68" s="11" t="s">
        <v>108</v>
      </c>
      <c r="F68" s="11">
        <v>2025</v>
      </c>
      <c r="G68" s="11" t="s">
        <v>780</v>
      </c>
      <c r="H68" s="11" t="s">
        <v>781</v>
      </c>
      <c r="I68" s="11" t="s">
        <v>782</v>
      </c>
      <c r="J68" s="11" t="s">
        <v>783</v>
      </c>
      <c r="K68" s="9" t="s">
        <v>784</v>
      </c>
      <c r="L68" s="9" t="s">
        <v>93</v>
      </c>
      <c r="M68" s="9" t="s">
        <v>785</v>
      </c>
      <c r="N68" s="9" t="s">
        <v>786</v>
      </c>
      <c r="O68" s="9" t="s">
        <v>787</v>
      </c>
      <c r="P68" s="9" t="s">
        <v>115</v>
      </c>
      <c r="Q68" s="9" t="s">
        <v>116</v>
      </c>
      <c r="R68" s="9" t="s">
        <v>99</v>
      </c>
      <c r="S68" s="9" t="s">
        <v>788</v>
      </c>
      <c r="T68" s="9" t="s">
        <v>101</v>
      </c>
      <c r="U68" s="9" t="s">
        <v>118</v>
      </c>
      <c r="V68" s="9" t="s">
        <v>99</v>
      </c>
      <c r="W68" s="9" t="s">
        <v>789</v>
      </c>
      <c r="X68" s="9" t="s">
        <v>101</v>
      </c>
      <c r="Y68" s="9" t="s">
        <v>258</v>
      </c>
    </row>
    <row r="69" spans="1:25" ht="101.4" customHeight="1" x14ac:dyDescent="0.3">
      <c r="A69" s="11">
        <v>68</v>
      </c>
      <c r="B69" s="11" t="s">
        <v>790</v>
      </c>
      <c r="C69" s="11" t="s">
        <v>791</v>
      </c>
      <c r="D69" s="11" t="s">
        <v>792</v>
      </c>
      <c r="E69" s="11" t="s">
        <v>108</v>
      </c>
      <c r="F69" s="11">
        <v>2024</v>
      </c>
      <c r="G69" s="11" t="s">
        <v>124</v>
      </c>
      <c r="H69" s="11" t="s">
        <v>793</v>
      </c>
      <c r="I69" s="11" t="s">
        <v>794</v>
      </c>
      <c r="J69" s="11" t="s">
        <v>93</v>
      </c>
      <c r="K69" s="9" t="s">
        <v>795</v>
      </c>
      <c r="L69" s="9" t="s">
        <v>93</v>
      </c>
      <c r="M69" s="9" t="s">
        <v>796</v>
      </c>
      <c r="N69" s="9" t="s">
        <v>95</v>
      </c>
      <c r="O69" s="9" t="s">
        <v>797</v>
      </c>
      <c r="P69" s="9" t="s">
        <v>115</v>
      </c>
      <c r="Q69" s="9" t="s">
        <v>116</v>
      </c>
      <c r="R69" s="9" t="s">
        <v>99</v>
      </c>
      <c r="S69" s="9" t="s">
        <v>798</v>
      </c>
      <c r="T69" s="9" t="s">
        <v>101</v>
      </c>
      <c r="U69" s="9" t="s">
        <v>118</v>
      </c>
      <c r="V69" s="9" t="s">
        <v>99</v>
      </c>
      <c r="W69" s="9" t="s">
        <v>799</v>
      </c>
      <c r="X69" s="9" t="s">
        <v>101</v>
      </c>
      <c r="Y69" s="9" t="s">
        <v>133</v>
      </c>
    </row>
    <row r="70" spans="1:25" ht="106.8" customHeight="1" x14ac:dyDescent="0.3">
      <c r="A70" s="11">
        <v>69</v>
      </c>
      <c r="B70" s="11" t="s">
        <v>800</v>
      </c>
      <c r="C70" s="11" t="s">
        <v>801</v>
      </c>
      <c r="D70" s="11" t="s">
        <v>802</v>
      </c>
      <c r="E70" s="11" t="s">
        <v>229</v>
      </c>
      <c r="F70" s="11">
        <v>2021</v>
      </c>
      <c r="G70" s="11" t="s">
        <v>803</v>
      </c>
      <c r="H70" s="11" t="s">
        <v>804</v>
      </c>
      <c r="I70" s="11" t="s">
        <v>805</v>
      </c>
      <c r="J70" s="11" t="s">
        <v>93</v>
      </c>
      <c r="K70" s="9" t="s">
        <v>806</v>
      </c>
      <c r="L70" s="9" t="s">
        <v>93</v>
      </c>
      <c r="M70" s="9" t="s">
        <v>807</v>
      </c>
      <c r="N70" s="9" t="s">
        <v>808</v>
      </c>
      <c r="O70" s="9" t="s">
        <v>809</v>
      </c>
      <c r="P70" s="9" t="s">
        <v>97</v>
      </c>
      <c r="Q70" s="9" t="s">
        <v>810</v>
      </c>
      <c r="R70" s="9" t="s">
        <v>99</v>
      </c>
      <c r="S70" s="9" t="s">
        <v>811</v>
      </c>
      <c r="T70" s="9" t="s">
        <v>101</v>
      </c>
      <c r="U70" s="9" t="s">
        <v>118</v>
      </c>
      <c r="V70" s="9" t="s">
        <v>101</v>
      </c>
      <c r="W70" s="9" t="s">
        <v>812</v>
      </c>
      <c r="X70" s="9" t="s">
        <v>101</v>
      </c>
      <c r="Y70" s="9" t="s">
        <v>133</v>
      </c>
    </row>
    <row r="71" spans="1:25" ht="103.8" customHeight="1" x14ac:dyDescent="0.3">
      <c r="A71" s="11">
        <v>70</v>
      </c>
      <c r="B71" s="11" t="s">
        <v>813</v>
      </c>
      <c r="C71" s="11" t="s">
        <v>814</v>
      </c>
      <c r="D71" s="11" t="s">
        <v>815</v>
      </c>
      <c r="E71" s="11" t="s">
        <v>108</v>
      </c>
      <c r="F71" s="11">
        <v>2026</v>
      </c>
      <c r="G71" s="11" t="s">
        <v>148</v>
      </c>
      <c r="H71" s="11" t="s">
        <v>816</v>
      </c>
      <c r="I71" s="11" t="s">
        <v>817</v>
      </c>
      <c r="J71" s="11" t="s">
        <v>818</v>
      </c>
      <c r="K71" s="9" t="s">
        <v>93</v>
      </c>
      <c r="L71" s="9" t="s">
        <v>819</v>
      </c>
      <c r="M71" s="9" t="s">
        <v>820</v>
      </c>
      <c r="N71" s="9" t="s">
        <v>821</v>
      </c>
      <c r="O71" s="9" t="s">
        <v>822</v>
      </c>
      <c r="P71" s="9" t="s">
        <v>115</v>
      </c>
      <c r="Q71" s="9" t="s">
        <v>116</v>
      </c>
      <c r="R71" s="9" t="s">
        <v>101</v>
      </c>
      <c r="S71" s="9" t="s">
        <v>117</v>
      </c>
      <c r="T71" s="9" t="s">
        <v>101</v>
      </c>
      <c r="U71" s="9" t="s">
        <v>118</v>
      </c>
      <c r="V71" s="9" t="s">
        <v>99</v>
      </c>
      <c r="W71" s="9" t="s">
        <v>823</v>
      </c>
      <c r="X71" s="9" t="s">
        <v>101</v>
      </c>
      <c r="Y71" s="9" t="s">
        <v>120</v>
      </c>
    </row>
    <row r="72" spans="1:25" ht="109.8" customHeight="1" x14ac:dyDescent="0.3">
      <c r="A72" s="11">
        <v>71</v>
      </c>
      <c r="B72" s="11" t="s">
        <v>824</v>
      </c>
      <c r="C72" s="11" t="s">
        <v>825</v>
      </c>
      <c r="D72" s="11" t="s">
        <v>826</v>
      </c>
      <c r="E72" s="11" t="s">
        <v>108</v>
      </c>
      <c r="F72" s="11">
        <v>2022</v>
      </c>
      <c r="G72" s="11" t="s">
        <v>148</v>
      </c>
      <c r="H72" s="11" t="s">
        <v>149</v>
      </c>
      <c r="I72" s="11" t="s">
        <v>827</v>
      </c>
      <c r="J72" s="11" t="s">
        <v>93</v>
      </c>
      <c r="K72" s="9" t="s">
        <v>93</v>
      </c>
      <c r="L72" s="9" t="s">
        <v>828</v>
      </c>
      <c r="M72" s="9" t="s">
        <v>829</v>
      </c>
      <c r="N72" s="9" t="s">
        <v>193</v>
      </c>
      <c r="O72" s="9" t="s">
        <v>830</v>
      </c>
      <c r="P72" s="9" t="s">
        <v>115</v>
      </c>
      <c r="Q72" s="9" t="s">
        <v>116</v>
      </c>
      <c r="R72" s="9" t="s">
        <v>101</v>
      </c>
      <c r="S72" s="9" t="s">
        <v>117</v>
      </c>
      <c r="T72" s="9" t="s">
        <v>101</v>
      </c>
      <c r="U72" s="9" t="s">
        <v>118</v>
      </c>
      <c r="V72" s="9" t="s">
        <v>99</v>
      </c>
      <c r="W72" s="9" t="s">
        <v>831</v>
      </c>
      <c r="X72" s="9" t="s">
        <v>101</v>
      </c>
      <c r="Y72" s="9" t="s">
        <v>154</v>
      </c>
    </row>
    <row r="73" spans="1:25" ht="117.6" customHeight="1" x14ac:dyDescent="0.3">
      <c r="A73" s="11">
        <v>72</v>
      </c>
      <c r="B73" s="11" t="s">
        <v>832</v>
      </c>
      <c r="C73" s="11" t="s">
        <v>833</v>
      </c>
      <c r="D73" s="11" t="s">
        <v>834</v>
      </c>
      <c r="E73" s="11" t="s">
        <v>108</v>
      </c>
      <c r="F73" s="11">
        <v>2023</v>
      </c>
      <c r="G73" s="11" t="s">
        <v>124</v>
      </c>
      <c r="H73" s="11" t="s">
        <v>835</v>
      </c>
      <c r="I73" s="11" t="s">
        <v>836</v>
      </c>
      <c r="J73" s="11" t="s">
        <v>93</v>
      </c>
      <c r="K73" s="9" t="s">
        <v>837</v>
      </c>
      <c r="L73" s="9" t="s">
        <v>93</v>
      </c>
      <c r="M73" s="9" t="s">
        <v>838</v>
      </c>
      <c r="N73" s="9" t="s">
        <v>773</v>
      </c>
      <c r="O73" s="9" t="s">
        <v>839</v>
      </c>
      <c r="P73" s="9" t="s">
        <v>115</v>
      </c>
      <c r="Q73" s="9" t="s">
        <v>116</v>
      </c>
      <c r="R73" s="9" t="s">
        <v>99</v>
      </c>
      <c r="S73" s="9" t="s">
        <v>840</v>
      </c>
      <c r="T73" s="9" t="s">
        <v>101</v>
      </c>
      <c r="U73" s="9" t="s">
        <v>118</v>
      </c>
      <c r="V73" s="9" t="s">
        <v>99</v>
      </c>
      <c r="W73" s="9" t="s">
        <v>841</v>
      </c>
      <c r="X73" s="9" t="s">
        <v>101</v>
      </c>
      <c r="Y73" s="9" t="s">
        <v>133</v>
      </c>
    </row>
    <row r="74" spans="1:25" ht="94.2" customHeight="1" x14ac:dyDescent="0.3">
      <c r="A74" s="11">
        <v>73</v>
      </c>
      <c r="B74" s="11" t="s">
        <v>842</v>
      </c>
      <c r="C74" s="11" t="s">
        <v>843</v>
      </c>
      <c r="D74" s="11" t="s">
        <v>844</v>
      </c>
      <c r="E74" s="11" t="s">
        <v>538</v>
      </c>
      <c r="F74" s="11">
        <v>2022</v>
      </c>
      <c r="G74" s="11" t="s">
        <v>845</v>
      </c>
      <c r="H74" s="11" t="s">
        <v>846</v>
      </c>
      <c r="I74" s="11" t="s">
        <v>847</v>
      </c>
      <c r="J74" s="11" t="s">
        <v>93</v>
      </c>
      <c r="K74" s="9" t="s">
        <v>848</v>
      </c>
      <c r="L74" s="9" t="s">
        <v>93</v>
      </c>
      <c r="M74" s="9" t="s">
        <v>849</v>
      </c>
      <c r="N74" s="9" t="s">
        <v>850</v>
      </c>
      <c r="O74" s="9" t="s">
        <v>851</v>
      </c>
      <c r="P74" s="9" t="s">
        <v>115</v>
      </c>
      <c r="Q74" s="9" t="s">
        <v>116</v>
      </c>
      <c r="R74" s="9" t="s">
        <v>99</v>
      </c>
      <c r="S74" s="9" t="s">
        <v>852</v>
      </c>
      <c r="T74" s="9" t="s">
        <v>99</v>
      </c>
      <c r="U74" s="9" t="s">
        <v>853</v>
      </c>
      <c r="V74" s="9" t="s">
        <v>101</v>
      </c>
      <c r="W74" s="9" t="s">
        <v>854</v>
      </c>
      <c r="X74" s="9" t="s">
        <v>101</v>
      </c>
      <c r="Y74" s="9" t="s">
        <v>133</v>
      </c>
    </row>
    <row r="75" spans="1:25" ht="115.2" customHeight="1" x14ac:dyDescent="0.3">
      <c r="A75" s="11">
        <v>74</v>
      </c>
      <c r="B75" s="11" t="s">
        <v>855</v>
      </c>
      <c r="C75" s="11" t="s">
        <v>856</v>
      </c>
      <c r="D75" s="11" t="s">
        <v>857</v>
      </c>
      <c r="E75" s="11" t="s">
        <v>108</v>
      </c>
      <c r="F75" s="11">
        <v>2023</v>
      </c>
      <c r="G75" s="11" t="s">
        <v>124</v>
      </c>
      <c r="H75" s="11" t="s">
        <v>858</v>
      </c>
      <c r="I75" s="11" t="s">
        <v>859</v>
      </c>
      <c r="J75" s="11" t="s">
        <v>93</v>
      </c>
      <c r="K75" s="9" t="s">
        <v>860</v>
      </c>
      <c r="L75" s="9" t="s">
        <v>93</v>
      </c>
      <c r="M75" s="9" t="s">
        <v>861</v>
      </c>
      <c r="N75" s="9" t="s">
        <v>862</v>
      </c>
      <c r="O75" s="9" t="s">
        <v>863</v>
      </c>
      <c r="P75" s="9" t="s">
        <v>97</v>
      </c>
      <c r="Q75" s="9" t="s">
        <v>864</v>
      </c>
      <c r="R75" s="9" t="s">
        <v>99</v>
      </c>
      <c r="S75" s="9" t="s">
        <v>865</v>
      </c>
      <c r="T75" s="9" t="s">
        <v>101</v>
      </c>
      <c r="U75" s="9" t="s">
        <v>118</v>
      </c>
      <c r="V75" s="9" t="s">
        <v>101</v>
      </c>
      <c r="W75" s="9" t="s">
        <v>866</v>
      </c>
      <c r="X75" s="9" t="s">
        <v>101</v>
      </c>
      <c r="Y75" s="9" t="s">
        <v>133</v>
      </c>
    </row>
    <row r="76" spans="1:25" ht="103.2" customHeight="1" x14ac:dyDescent="0.3">
      <c r="A76" s="11">
        <v>75</v>
      </c>
      <c r="B76" s="11" t="s">
        <v>867</v>
      </c>
      <c r="C76" s="11" t="s">
        <v>868</v>
      </c>
      <c r="D76" s="11" t="s">
        <v>869</v>
      </c>
      <c r="E76" s="11" t="s">
        <v>108</v>
      </c>
      <c r="F76" s="11">
        <v>2025</v>
      </c>
      <c r="G76" s="11" t="s">
        <v>870</v>
      </c>
      <c r="H76" s="11" t="s">
        <v>871</v>
      </c>
      <c r="I76" s="11" t="s">
        <v>872</v>
      </c>
      <c r="J76" s="11" t="s">
        <v>93</v>
      </c>
      <c r="K76" s="9" t="s">
        <v>873</v>
      </c>
      <c r="L76" s="9" t="s">
        <v>93</v>
      </c>
      <c r="M76" s="9" t="s">
        <v>874</v>
      </c>
      <c r="N76" s="9" t="s">
        <v>875</v>
      </c>
      <c r="O76" s="9" t="s">
        <v>876</v>
      </c>
      <c r="P76" s="9" t="s">
        <v>115</v>
      </c>
      <c r="Q76" s="9" t="s">
        <v>116</v>
      </c>
      <c r="R76" s="9" t="s">
        <v>99</v>
      </c>
      <c r="S76" s="9" t="s">
        <v>877</v>
      </c>
      <c r="T76" s="9" t="s">
        <v>101</v>
      </c>
      <c r="U76" s="9" t="s">
        <v>118</v>
      </c>
      <c r="V76" s="9" t="s">
        <v>99</v>
      </c>
      <c r="W76" s="9" t="s">
        <v>878</v>
      </c>
      <c r="X76" s="9" t="s">
        <v>101</v>
      </c>
      <c r="Y76" s="9" t="s">
        <v>133</v>
      </c>
    </row>
    <row r="77" spans="1:25" ht="103.2" customHeight="1" x14ac:dyDescent="0.3">
      <c r="A77" s="11">
        <v>76</v>
      </c>
      <c r="B77" s="11" t="s">
        <v>879</v>
      </c>
      <c r="C77" s="11" t="s">
        <v>880</v>
      </c>
      <c r="D77" s="11" t="s">
        <v>881</v>
      </c>
      <c r="E77" s="11" t="s">
        <v>108</v>
      </c>
      <c r="F77" s="11">
        <v>2022</v>
      </c>
      <c r="G77" s="11" t="s">
        <v>124</v>
      </c>
      <c r="H77" s="11" t="s">
        <v>149</v>
      </c>
      <c r="I77" s="11" t="s">
        <v>882</v>
      </c>
      <c r="J77" s="11" t="s">
        <v>93</v>
      </c>
      <c r="K77" s="9" t="s">
        <v>883</v>
      </c>
      <c r="L77" s="9" t="s">
        <v>93</v>
      </c>
      <c r="M77" s="9" t="s">
        <v>884</v>
      </c>
      <c r="N77" s="9" t="s">
        <v>773</v>
      </c>
      <c r="O77" s="9" t="s">
        <v>885</v>
      </c>
      <c r="P77" s="9" t="s">
        <v>115</v>
      </c>
      <c r="Q77" s="9" t="s">
        <v>116</v>
      </c>
      <c r="R77" s="9" t="s">
        <v>99</v>
      </c>
      <c r="S77" s="9" t="s">
        <v>886</v>
      </c>
      <c r="T77" s="9" t="s">
        <v>101</v>
      </c>
      <c r="U77" s="9" t="s">
        <v>118</v>
      </c>
      <c r="V77" s="9" t="s">
        <v>99</v>
      </c>
      <c r="W77" s="9" t="s">
        <v>887</v>
      </c>
      <c r="X77" s="9" t="s">
        <v>101</v>
      </c>
      <c r="Y77" s="9" t="s">
        <v>133</v>
      </c>
    </row>
    <row r="78" spans="1:25" ht="103.8" customHeight="1" x14ac:dyDescent="0.3">
      <c r="A78" s="11">
        <v>77</v>
      </c>
      <c r="B78" s="11" t="s">
        <v>888</v>
      </c>
      <c r="C78" s="11" t="s">
        <v>889</v>
      </c>
      <c r="D78" s="11" t="s">
        <v>890</v>
      </c>
      <c r="E78" s="11" t="s">
        <v>108</v>
      </c>
      <c r="F78" s="11">
        <v>2025</v>
      </c>
      <c r="G78" s="11" t="s">
        <v>891</v>
      </c>
      <c r="H78" s="11" t="s">
        <v>892</v>
      </c>
      <c r="I78" s="11" t="s">
        <v>893</v>
      </c>
      <c r="J78" s="11" t="s">
        <v>93</v>
      </c>
      <c r="K78" s="9" t="s">
        <v>894</v>
      </c>
      <c r="L78" s="9" t="s">
        <v>93</v>
      </c>
      <c r="M78" s="9" t="s">
        <v>895</v>
      </c>
      <c r="N78" s="9" t="s">
        <v>896</v>
      </c>
      <c r="O78" s="9" t="s">
        <v>897</v>
      </c>
      <c r="P78" s="9" t="s">
        <v>115</v>
      </c>
      <c r="Q78" s="9" t="s">
        <v>116</v>
      </c>
      <c r="R78" s="9" t="s">
        <v>101</v>
      </c>
      <c r="S78" s="9" t="s">
        <v>117</v>
      </c>
      <c r="T78" s="9" t="s">
        <v>101</v>
      </c>
      <c r="U78" s="9" t="s">
        <v>118</v>
      </c>
      <c r="V78" s="9" t="s">
        <v>99</v>
      </c>
      <c r="W78" s="9" t="s">
        <v>898</v>
      </c>
      <c r="X78" s="9" t="s">
        <v>101</v>
      </c>
      <c r="Y78" s="9" t="s">
        <v>133</v>
      </c>
    </row>
    <row r="79" spans="1:25" x14ac:dyDescent="0.3">
      <c r="A79" s="1"/>
      <c r="B79" s="2"/>
      <c r="C79" s="2"/>
      <c r="D79" s="2"/>
      <c r="E79" s="2"/>
      <c r="F79" s="2"/>
      <c r="G79" s="2"/>
      <c r="H79" s="2"/>
      <c r="I79" s="2"/>
      <c r="J79" s="2"/>
    </row>
    <row r="80" spans="1:25" x14ac:dyDescent="0.3">
      <c r="A80" s="1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">
      <c r="A81" s="1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">
      <c r="A82" s="1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">
      <c r="A83" s="1"/>
      <c r="B83" s="2"/>
      <c r="C83" s="2"/>
      <c r="D83" s="2"/>
      <c r="E83" s="2"/>
      <c r="F83" s="2"/>
      <c r="G83" s="2"/>
      <c r="H83" s="2"/>
      <c r="I83" s="2"/>
      <c r="J8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F6" sqref="F6"/>
    </sheetView>
  </sheetViews>
  <sheetFormatPr defaultRowHeight="14.4" x14ac:dyDescent="0.3"/>
  <cols>
    <col min="1" max="1" width="34" customWidth="1"/>
    <col min="2" max="2" width="10" customWidth="1"/>
    <col min="3" max="3" width="24.109375" customWidth="1"/>
    <col min="4" max="4" width="66.77734375" customWidth="1"/>
  </cols>
  <sheetData>
    <row r="1" spans="1:4" ht="15.6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ht="39" customHeight="1" x14ac:dyDescent="0.3">
      <c r="A2" s="12" t="s">
        <v>4</v>
      </c>
      <c r="B2" s="12">
        <v>2025</v>
      </c>
      <c r="C2" s="12" t="s">
        <v>5</v>
      </c>
      <c r="D2" s="12" t="s">
        <v>6</v>
      </c>
    </row>
    <row r="3" spans="1:4" ht="44.4" customHeight="1" x14ac:dyDescent="0.3">
      <c r="A3" s="12" t="s">
        <v>7</v>
      </c>
      <c r="B3" s="12">
        <v>2021</v>
      </c>
      <c r="C3" s="12" t="s">
        <v>8</v>
      </c>
      <c r="D3" s="13" t="s">
        <v>9</v>
      </c>
    </row>
    <row r="4" spans="1:4" ht="36" customHeight="1" x14ac:dyDescent="0.3">
      <c r="A4" s="12" t="s">
        <v>10</v>
      </c>
      <c r="B4" s="12">
        <v>2022</v>
      </c>
      <c r="C4" s="12" t="s">
        <v>5</v>
      </c>
      <c r="D4" s="12" t="s">
        <v>11</v>
      </c>
    </row>
    <row r="5" spans="1:4" ht="40.799999999999997" customHeight="1" x14ac:dyDescent="0.3">
      <c r="A5" s="12" t="s">
        <v>12</v>
      </c>
      <c r="B5" s="12">
        <v>2026</v>
      </c>
      <c r="C5" s="12" t="s">
        <v>13</v>
      </c>
      <c r="D5" s="13" t="s">
        <v>14</v>
      </c>
    </row>
    <row r="6" spans="1:4" ht="37.799999999999997" customHeight="1" x14ac:dyDescent="0.3">
      <c r="A6" s="12" t="s">
        <v>15</v>
      </c>
      <c r="B6" s="12">
        <v>2025</v>
      </c>
      <c r="C6" s="12" t="s">
        <v>8</v>
      </c>
      <c r="D6" s="13" t="s">
        <v>16</v>
      </c>
    </row>
    <row r="7" spans="1:4" ht="40.200000000000003" customHeight="1" x14ac:dyDescent="0.3">
      <c r="A7" s="12" t="s">
        <v>17</v>
      </c>
      <c r="B7" s="12">
        <v>2022</v>
      </c>
      <c r="C7" s="12" t="s">
        <v>18</v>
      </c>
      <c r="D7" s="13" t="s">
        <v>19</v>
      </c>
    </row>
    <row r="8" spans="1:4" ht="45.6" customHeight="1" x14ac:dyDescent="0.3">
      <c r="A8" s="12" t="s">
        <v>20</v>
      </c>
      <c r="B8" s="12">
        <v>2025</v>
      </c>
      <c r="C8" s="12" t="s">
        <v>5</v>
      </c>
      <c r="D8" s="13" t="s">
        <v>21</v>
      </c>
    </row>
    <row r="9" spans="1:4" ht="37.200000000000003" customHeight="1" x14ac:dyDescent="0.3">
      <c r="A9" s="12" t="s">
        <v>22</v>
      </c>
      <c r="B9" s="12">
        <v>2025</v>
      </c>
      <c r="C9" s="12" t="s">
        <v>5</v>
      </c>
      <c r="D9" s="12" t="s">
        <v>23</v>
      </c>
    </row>
    <row r="10" spans="1:4" ht="43.8" customHeight="1" x14ac:dyDescent="0.3">
      <c r="A10" s="12" t="s">
        <v>24</v>
      </c>
      <c r="B10" s="12">
        <v>2026</v>
      </c>
      <c r="C10" s="12" t="s">
        <v>5</v>
      </c>
      <c r="D10" s="12" t="s">
        <v>25</v>
      </c>
    </row>
    <row r="11" spans="1:4" ht="40.799999999999997" customHeight="1" x14ac:dyDescent="0.3">
      <c r="A11" s="12" t="s">
        <v>26</v>
      </c>
      <c r="B11" s="12">
        <v>2021</v>
      </c>
      <c r="C11" s="12" t="s">
        <v>8</v>
      </c>
      <c r="D11" s="13" t="s">
        <v>27</v>
      </c>
    </row>
    <row r="12" spans="1:4" ht="39" customHeight="1" x14ac:dyDescent="0.3">
      <c r="A12" s="12" t="s">
        <v>28</v>
      </c>
      <c r="B12" s="12">
        <v>2024</v>
      </c>
      <c r="C12" s="12" t="s">
        <v>29</v>
      </c>
      <c r="D12" s="13" t="s">
        <v>30</v>
      </c>
    </row>
    <row r="13" spans="1:4" ht="40.799999999999997" customHeight="1" x14ac:dyDescent="0.3">
      <c r="A13" s="12" t="s">
        <v>31</v>
      </c>
      <c r="B13" s="12">
        <v>2021</v>
      </c>
      <c r="C13" s="12" t="s">
        <v>18</v>
      </c>
      <c r="D13" s="12" t="s">
        <v>32</v>
      </c>
    </row>
    <row r="14" spans="1:4" ht="49.8" customHeight="1" x14ac:dyDescent="0.3">
      <c r="A14" s="12" t="s">
        <v>33</v>
      </c>
      <c r="B14" s="12">
        <v>2021</v>
      </c>
      <c r="C14" s="12" t="s">
        <v>5</v>
      </c>
      <c r="D14" s="12" t="s">
        <v>34</v>
      </c>
    </row>
    <row r="15" spans="1:4" ht="43.2" customHeight="1" x14ac:dyDescent="0.3">
      <c r="A15" s="12" t="s">
        <v>35</v>
      </c>
      <c r="B15" s="12">
        <v>2020</v>
      </c>
      <c r="C15" s="12" t="s">
        <v>18</v>
      </c>
      <c r="D15" s="12" t="s">
        <v>36</v>
      </c>
    </row>
    <row r="16" spans="1:4" ht="45" customHeight="1" x14ac:dyDescent="0.3">
      <c r="A16" s="12" t="s">
        <v>37</v>
      </c>
      <c r="B16" s="12">
        <v>2018</v>
      </c>
      <c r="C16" s="12" t="s">
        <v>18</v>
      </c>
      <c r="D16" s="13" t="s">
        <v>38</v>
      </c>
    </row>
    <row r="17" spans="1:7" ht="47.4" customHeight="1" x14ac:dyDescent="0.3">
      <c r="A17" s="12" t="s">
        <v>39</v>
      </c>
      <c r="B17" s="12">
        <v>2025</v>
      </c>
      <c r="C17" s="12" t="s">
        <v>5</v>
      </c>
      <c r="D17" s="12" t="s">
        <v>40</v>
      </c>
    </row>
    <row r="18" spans="1:7" ht="36" customHeight="1" x14ac:dyDescent="0.3">
      <c r="A18" s="12" t="s">
        <v>41</v>
      </c>
      <c r="B18" s="12">
        <v>2023</v>
      </c>
      <c r="C18" s="12" t="s">
        <v>42</v>
      </c>
      <c r="D18" s="13" t="s">
        <v>43</v>
      </c>
    </row>
    <row r="19" spans="1:7" ht="36.6" customHeight="1" x14ac:dyDescent="0.3">
      <c r="A19" s="12" t="s">
        <v>44</v>
      </c>
      <c r="B19" s="12">
        <v>2025</v>
      </c>
      <c r="C19" s="12" t="s">
        <v>5</v>
      </c>
      <c r="D19" s="12" t="s">
        <v>45</v>
      </c>
    </row>
    <row r="20" spans="1:7" ht="36.6" customHeight="1" x14ac:dyDescent="0.3">
      <c r="A20" s="12" t="s">
        <v>46</v>
      </c>
      <c r="B20" s="12">
        <v>2025</v>
      </c>
      <c r="C20" s="12" t="s">
        <v>5</v>
      </c>
      <c r="D20" s="12" t="s">
        <v>47</v>
      </c>
    </row>
    <row r="21" spans="1:7" ht="51.6" customHeight="1" x14ac:dyDescent="0.3">
      <c r="A21" s="4" t="s">
        <v>48</v>
      </c>
      <c r="B21" s="4">
        <v>2023</v>
      </c>
      <c r="C21" s="4" t="s">
        <v>8</v>
      </c>
      <c r="D21" s="5" t="s">
        <v>49</v>
      </c>
      <c r="E21" s="3"/>
      <c r="F21" s="3"/>
      <c r="G2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>
      <selection activeCell="B2" sqref="B2"/>
    </sheetView>
  </sheetViews>
  <sheetFormatPr defaultRowHeight="14.4" x14ac:dyDescent="0.3"/>
  <cols>
    <col min="1" max="1" width="42" customWidth="1"/>
    <col min="2" max="2" width="86.5546875" customWidth="1"/>
  </cols>
  <sheetData>
    <row r="1" spans="1:2" ht="29.4" customHeight="1" x14ac:dyDescent="0.3">
      <c r="A1" s="14" t="s">
        <v>50</v>
      </c>
      <c r="B1" s="14" t="s">
        <v>51</v>
      </c>
    </row>
    <row r="2" spans="1:2" ht="75.599999999999994" customHeight="1" x14ac:dyDescent="0.3">
      <c r="A2" s="9" t="s">
        <v>52</v>
      </c>
      <c r="B2" s="9" t="s">
        <v>53</v>
      </c>
    </row>
    <row r="3" spans="1:2" ht="93" customHeight="1" x14ac:dyDescent="0.3">
      <c r="A3" s="9" t="s">
        <v>54</v>
      </c>
      <c r="B3" s="9" t="s">
        <v>55</v>
      </c>
    </row>
    <row r="4" spans="1:2" ht="76.2" customHeight="1" x14ac:dyDescent="0.3">
      <c r="A4" s="9" t="s">
        <v>56</v>
      </c>
      <c r="B4" s="9" t="s">
        <v>57</v>
      </c>
    </row>
    <row r="5" spans="1:2" ht="70.8" customHeight="1" x14ac:dyDescent="0.3">
      <c r="A5" s="9" t="s">
        <v>58</v>
      </c>
      <c r="B5" s="9" t="s">
        <v>59</v>
      </c>
    </row>
    <row r="6" spans="1:2" ht="55.2" customHeight="1" x14ac:dyDescent="0.3">
      <c r="A6" s="9" t="s">
        <v>60</v>
      </c>
      <c r="B6" s="9">
        <f>COUNTIF('Charting Table S1'!R2:R78,"Yes")</f>
        <v>38</v>
      </c>
    </row>
    <row r="7" spans="1:2" ht="43.8" customHeight="1" x14ac:dyDescent="0.3">
      <c r="A7" s="9" t="s">
        <v>61</v>
      </c>
      <c r="B7" s="9">
        <f>COUNTIF('Charting Table S1'!T2:T78,"Yes")</f>
        <v>4</v>
      </c>
    </row>
    <row r="8" spans="1:2" ht="44.4" customHeight="1" x14ac:dyDescent="0.3">
      <c r="A8" s="9" t="s">
        <v>62</v>
      </c>
      <c r="B8" s="9">
        <f>COUNTIF('Charting Table S1'!V2:V78,"Yes")</f>
        <v>25</v>
      </c>
    </row>
    <row r="9" spans="1:2" ht="35.4" customHeight="1" x14ac:dyDescent="0.3">
      <c r="A9" s="9" t="s">
        <v>63</v>
      </c>
      <c r="B9" s="9">
        <f>COUNTIF('Charting Table S1'!X2:X78,"Yes")</f>
        <v>0</v>
      </c>
    </row>
    <row r="10" spans="1:2" ht="41.4" customHeight="1" x14ac:dyDescent="0.3">
      <c r="A10" s="9" t="s">
        <v>899</v>
      </c>
      <c r="B10" s="9" t="s">
        <v>900</v>
      </c>
    </row>
    <row r="11" spans="1:2" ht="61.2" customHeight="1" x14ac:dyDescent="0.3">
      <c r="A11" s="9" t="s">
        <v>64</v>
      </c>
      <c r="B11" s="9" t="s">
        <v>901</v>
      </c>
    </row>
    <row r="12" spans="1:2" ht="58.2" customHeight="1" x14ac:dyDescent="0.3">
      <c r="A12" s="9" t="s">
        <v>902</v>
      </c>
      <c r="B12" s="9" t="s">
        <v>903</v>
      </c>
    </row>
    <row r="13" spans="1:2" ht="86.4" customHeight="1" x14ac:dyDescent="0.3">
      <c r="A13" s="9" t="s">
        <v>904</v>
      </c>
      <c r="B13" s="9" t="s">
        <v>905</v>
      </c>
    </row>
    <row r="14" spans="1:2" ht="57" customHeight="1" x14ac:dyDescent="0.3">
      <c r="A14" s="9" t="s">
        <v>80</v>
      </c>
      <c r="B14" s="9" t="s">
        <v>906</v>
      </c>
    </row>
    <row r="15" spans="1:2" ht="45.6" customHeight="1" x14ac:dyDescent="0.3">
      <c r="A15" s="9" t="s">
        <v>907</v>
      </c>
      <c r="B15" s="9">
        <f>COUNTIF('Charting Table S1'!P2:P78,"Bridge-specific evidence")</f>
        <v>42</v>
      </c>
    </row>
    <row r="16" spans="1:2" ht="34.200000000000003" customHeight="1" x14ac:dyDescent="0.3">
      <c r="A16" s="9" t="s">
        <v>908</v>
      </c>
      <c r="B16" s="9">
        <f>COUNTIF('Charting Table S1'!P2:P78,"Transferable non-bridge evidence")</f>
        <v>35</v>
      </c>
    </row>
    <row r="17" spans="1:2" ht="40.799999999999997" customHeight="1" x14ac:dyDescent="0.3">
      <c r="A17" s="9" t="s">
        <v>909</v>
      </c>
      <c r="B17" s="9">
        <f>COUNTIFS('Charting Table S1'!P2:P78,"Bridge-specific evidence",'Charting Table S1'!R2:R78,"Yes")</f>
        <v>22</v>
      </c>
    </row>
    <row r="18" spans="1:2" ht="45" customHeight="1" x14ac:dyDescent="0.3">
      <c r="A18" s="9" t="s">
        <v>910</v>
      </c>
      <c r="B18" s="9">
        <f>COUNTIFS('Charting Table S1'!P2:P78,"Bridge-specific evidence",'Charting Table S1'!T2:T78,"Yes")</f>
        <v>3</v>
      </c>
    </row>
    <row r="19" spans="1:2" ht="51.6" customHeight="1" x14ac:dyDescent="0.3">
      <c r="A19" s="9" t="s">
        <v>911</v>
      </c>
      <c r="B19" s="9">
        <f>COUNTIFS('Charting Table S1'!P2:P78,"Bridge-specific evidence",'Charting Table S1'!V2:V78,"Yes")</f>
        <v>25</v>
      </c>
    </row>
    <row r="20" spans="1:2" ht="44.4" customHeight="1" x14ac:dyDescent="0.3">
      <c r="A20" s="9" t="s">
        <v>912</v>
      </c>
      <c r="B20" s="9">
        <f>COUNTIFS('Charting Table S1'!P2:P78,"Bridge-specific evidence",'Charting Table S1'!X2:X78,"Yes")</f>
        <v>0</v>
      </c>
    </row>
    <row r="21" spans="1:2" ht="79.2" customHeight="1" x14ac:dyDescent="0.3">
      <c r="A21" s="9" t="s">
        <v>913</v>
      </c>
      <c r="B21" s="9" t="s">
        <v>914</v>
      </c>
    </row>
    <row r="22" spans="1:2" ht="50.4" customHeight="1" x14ac:dyDescent="0.3">
      <c r="A22" s="9" t="s">
        <v>915</v>
      </c>
      <c r="B22" s="9" t="s">
        <v>916</v>
      </c>
    </row>
    <row r="23" spans="1:2" ht="63" customHeight="1" x14ac:dyDescent="0.3">
      <c r="A23" s="9" t="s">
        <v>917</v>
      </c>
      <c r="B23" s="9" t="s">
        <v>918</v>
      </c>
    </row>
    <row r="24" spans="1:2" ht="67.2" customHeight="1" x14ac:dyDescent="0.3">
      <c r="A24" s="9" t="s">
        <v>919</v>
      </c>
      <c r="B24" s="9" t="s">
        <v>920</v>
      </c>
    </row>
    <row r="25" spans="1:2" ht="57" customHeight="1" x14ac:dyDescent="0.3">
      <c r="A25" s="9" t="s">
        <v>79</v>
      </c>
      <c r="B25" s="9" t="s">
        <v>921</v>
      </c>
    </row>
    <row r="26" spans="1:2" ht="52.2" customHeight="1" x14ac:dyDescent="0.3">
      <c r="A26" s="9" t="s">
        <v>922</v>
      </c>
      <c r="B26" s="9" t="s">
        <v>923</v>
      </c>
    </row>
    <row r="27" spans="1:2" ht="52.2" customHeight="1" x14ac:dyDescent="0.3">
      <c r="A27" s="9" t="s">
        <v>924</v>
      </c>
      <c r="B27" s="9" t="s">
        <v>925</v>
      </c>
    </row>
    <row r="28" spans="1:2" ht="49.2" customHeight="1" x14ac:dyDescent="0.3">
      <c r="A28" s="9" t="s">
        <v>926</v>
      </c>
      <c r="B28" s="9" t="s">
        <v>927</v>
      </c>
    </row>
    <row r="29" spans="1:2" ht="49.2" customHeight="1" x14ac:dyDescent="0.3">
      <c r="A29" s="9" t="s">
        <v>928</v>
      </c>
      <c r="B29" s="9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Charting Table S1</vt:lpstr>
      <vt:lpstr>Excluded References</vt:lpstr>
      <vt:lpstr>Coding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2026-08-30T10:04:17Z</dcterms:modified>
</cp:coreProperties>
</file>